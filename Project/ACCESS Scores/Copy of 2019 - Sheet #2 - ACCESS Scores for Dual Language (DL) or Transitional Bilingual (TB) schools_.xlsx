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SS DLTB" sheetId="1" r:id="rId4"/>
    <sheet state="visible" name="Grade K" sheetId="2" r:id="rId5"/>
    <sheet state="visible" name="Grade 1 - 2" sheetId="3" r:id="rId6"/>
    <sheet state="visible" name="Grade 3 - 5" sheetId="4" r:id="rId7"/>
    <sheet state="visible" name="Grade 6 - 8" sheetId="5" r:id="rId8"/>
    <sheet state="visible" name="Grade 9 - 12" sheetId="6" r:id="rId9"/>
  </sheets>
  <definedNames>
    <definedName hidden="1" localSheetId="0" name="_xlnm._FilterDatabase">'ACCESS DLTB'!$A$1:$AB$121</definedName>
  </definedNames>
  <calcPr/>
  <extLst>
    <ext uri="GoogleSheetsCustomDataVersion1">
      <go:sheetsCustomData xmlns:go="http://customooxmlschemas.google.com/" r:id="rId10" roundtripDataSignature="AMtx7mi7XkQDm6WcmAQ6jdHpA0ULIJq/jw=="/>
    </ext>
  </extLst>
</workbook>
</file>

<file path=xl/sharedStrings.xml><?xml version="1.0" encoding="utf-8"?>
<sst xmlns="http://schemas.openxmlformats.org/spreadsheetml/2006/main" count="593" uniqueCount="91">
  <si>
    <t>District Code</t>
  </si>
  <si>
    <t>District Name</t>
  </si>
  <si>
    <t>School Code</t>
  </si>
  <si>
    <t>School Name</t>
  </si>
  <si>
    <t>Grade</t>
  </si>
  <si>
    <t>Years in MA Schools</t>
  </si>
  <si>
    <t># Enrolled</t>
  </si>
  <si>
    <t># Tested (Standard &amp; Alt)</t>
  </si>
  <si>
    <t>Participation Rate</t>
  </si>
  <si>
    <t># Taking Standard Test</t>
  </si>
  <si>
    <t># Level 1</t>
  </si>
  <si>
    <t>% Level 1</t>
  </si>
  <si>
    <t># Level 2</t>
  </si>
  <si>
    <t>% Level 2</t>
  </si>
  <si>
    <t># Level 3</t>
  </si>
  <si>
    <t>% Level 3</t>
  </si>
  <si>
    <t># Level 4</t>
  </si>
  <si>
    <t>% Level 4</t>
  </si>
  <si>
    <t># Level 5</t>
  </si>
  <si>
    <t>% Level 5</t>
  </si>
  <si>
    <t># Level 6</t>
  </si>
  <si>
    <t>% Level 6</t>
  </si>
  <si>
    <t># Included in Progress</t>
  </si>
  <si>
    <t># Making Progress</t>
  </si>
  <si>
    <t>% Making Progress</t>
  </si>
  <si>
    <t># Included in Making Exit Criteria</t>
  </si>
  <si>
    <t># Making Exit Criteria</t>
  </si>
  <si>
    <t>% Making Exit Criteria</t>
  </si>
  <si>
    <t>Amherst</t>
  </si>
  <si>
    <t>Fort River Elementary</t>
  </si>
  <si>
    <t>All</t>
  </si>
  <si>
    <t>Boston</t>
  </si>
  <si>
    <t>Mattahunt Elementary School</t>
  </si>
  <si>
    <t>K</t>
  </si>
  <si>
    <t>Joseph J Hurley</t>
  </si>
  <si>
    <t>Sarah Greenwood</t>
  </si>
  <si>
    <t>Margarita Muniz Academy</t>
  </si>
  <si>
    <t>Mario Umana Academy</t>
  </si>
  <si>
    <t>Rafael Hernandez</t>
  </si>
  <si>
    <t>Brockton</t>
  </si>
  <si>
    <t>Manthala George Jr. School</t>
  </si>
  <si>
    <t>Brockton High</t>
  </si>
  <si>
    <t>Cambridge</t>
  </si>
  <si>
    <t>Amigos School</t>
  </si>
  <si>
    <t>Martin Luther King Jr.</t>
  </si>
  <si>
    <t>Chelsea</t>
  </si>
  <si>
    <t>George F. Kelly Elementary</t>
  </si>
  <si>
    <t>Framingham</t>
  </si>
  <si>
    <t>Brophy</t>
  </si>
  <si>
    <t>Barbieri Elementary</t>
  </si>
  <si>
    <t>Potter Road</t>
  </si>
  <si>
    <t>Woodrow Wilson</t>
  </si>
  <si>
    <t>Fuller Middle</t>
  </si>
  <si>
    <t>Walsh Middle</t>
  </si>
  <si>
    <t>Framingham High School</t>
  </si>
  <si>
    <t>Holliston</t>
  </si>
  <si>
    <t>Miller School</t>
  </si>
  <si>
    <t>Placentino Elementary</t>
  </si>
  <si>
    <t>Robert H. Adams Middle School</t>
  </si>
  <si>
    <t>Holyoke</t>
  </si>
  <si>
    <t>Joseph Metcalf School</t>
  </si>
  <si>
    <t>E N White Elementary</t>
  </si>
  <si>
    <t>Maynard</t>
  </si>
  <si>
    <t>Green Meadow</t>
  </si>
  <si>
    <t>Fowler School</t>
  </si>
  <si>
    <t>Millis</t>
  </si>
  <si>
    <t>Clyde F Brown</t>
  </si>
  <si>
    <t>Milton</t>
  </si>
  <si>
    <t>Cunningham School</t>
  </si>
  <si>
    <t>Tucker</t>
  </si>
  <si>
    <t>New Bedford</t>
  </si>
  <si>
    <t>Alfred J Gomes</t>
  </si>
  <si>
    <t>Somerville</t>
  </si>
  <si>
    <t>E Somerville Community</t>
  </si>
  <si>
    <t>Southbridge</t>
  </si>
  <si>
    <t>Eastford Road</t>
  </si>
  <si>
    <t>West Street</t>
  </si>
  <si>
    <t>Waltham</t>
  </si>
  <si>
    <t>Waltham Public Schools Dual Language Program</t>
  </si>
  <si>
    <t>Wayland</t>
  </si>
  <si>
    <t>Loker School</t>
  </si>
  <si>
    <t>Worcester</t>
  </si>
  <si>
    <t>Woodland Academy</t>
  </si>
  <si>
    <t>Chandler Magnet</t>
  </si>
  <si>
    <t>Roosevelt</t>
  </si>
  <si>
    <t>Burncoat Middle School</t>
  </si>
  <si>
    <t>Pioneer Valley Chinese Immersion Charter (District)</t>
  </si>
  <si>
    <t>Pioneer Valley Chinese Immersion Charter School</t>
  </si>
  <si>
    <t>Mendon-Upton</t>
  </si>
  <si>
    <t>Memorial School</t>
  </si>
  <si>
    <t xml:space="preserve">Grade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</si>
</sst>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7">
    <font>
      <sz val="10.0"/>
      <color rgb="FF000000"/>
      <name val="Arial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2" fillId="2" fontId="1" numFmtId="0" xfId="0" applyAlignment="1" applyBorder="1" applyFont="1">
      <alignment horizontal="left" vertical="bottom"/>
    </xf>
    <xf borderId="2" fillId="2" fontId="1" numFmtId="0" xfId="0" applyAlignment="1" applyBorder="1" applyFont="1">
      <alignment horizontal="left" readingOrder="0" vertical="bottom"/>
    </xf>
    <xf borderId="2" fillId="3" fontId="1" numFmtId="0" xfId="0" applyAlignment="1" applyBorder="1" applyFill="1" applyFont="1">
      <alignment horizontal="left" vertical="bottom"/>
    </xf>
    <xf borderId="2" fillId="2" fontId="2" numFmtId="0" xfId="0" applyAlignment="1" applyBorder="1" applyFont="1">
      <alignment horizontal="left" vertical="bottom"/>
    </xf>
    <xf borderId="2" fillId="4" fontId="2" numFmtId="0" xfId="0" applyAlignment="1" applyBorder="1" applyFill="1" applyFont="1">
      <alignment horizontal="left" vertical="bottom"/>
    </xf>
    <xf borderId="2" fillId="2" fontId="2" numFmtId="0" xfId="0" applyAlignment="1" applyBorder="1" applyFont="1">
      <alignment horizontal="left" readingOrder="0" vertical="bottom"/>
    </xf>
    <xf borderId="2" fillId="5" fontId="2" numFmtId="0" xfId="0" applyAlignment="1" applyBorder="1" applyFill="1" applyFont="1">
      <alignment horizontal="left" vertical="bottom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9" xfId="0" applyAlignment="1" applyFont="1" applyNumberFormat="1">
      <alignment horizontal="right" shrinkToFit="0" vertical="bottom" wrapText="0"/>
    </xf>
    <xf borderId="0" fillId="3" fontId="3" numFmtId="9" xfId="0" applyAlignment="1" applyFont="1" applyNumberFormat="1">
      <alignment horizontal="right" shrinkToFit="0" vertical="bottom" wrapText="0"/>
    </xf>
    <xf borderId="0" fillId="4" fontId="4" numFmtId="9" xfId="0" applyAlignment="1" applyFont="1" applyNumberFormat="1">
      <alignment horizontal="right" shrinkToFit="0" vertical="bottom" wrapText="0"/>
    </xf>
    <xf borderId="0" fillId="5" fontId="3" numFmtId="9" xfId="0" applyAlignment="1" applyFont="1" applyNumberFormat="1">
      <alignment horizontal="right" shrinkToFit="0" vertical="bottom" wrapText="0"/>
    </xf>
    <xf borderId="0" fillId="4" fontId="4" numFmtId="0" xfId="0" applyAlignment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9" xfId="0" applyFont="1" applyNumberFormat="1"/>
    <xf borderId="0" fillId="6" fontId="0" numFmtId="9" xfId="0" applyFill="1" applyFont="1" applyNumberFormat="1"/>
    <xf borderId="0" fillId="0" fontId="5" numFmtId="164" xfId="0" applyAlignment="1" applyFont="1" applyNumberFormat="1">
      <alignment readingOrder="0"/>
    </xf>
    <xf borderId="0" fillId="0" fontId="5" numFmtId="164" xfId="0" applyFont="1" applyNumberFormat="1"/>
    <xf borderId="0" fillId="6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4.43"/>
    <col customWidth="1" min="4" max="4" width="43.0"/>
    <col customWidth="1" min="5" max="5" width="14.43"/>
    <col customWidth="1" min="6" max="6" width="18.43"/>
    <col customWidth="1" min="8" max="8" width="22.86"/>
    <col customWidth="1" min="9" max="9" width="20.57"/>
    <col customWidth="1" min="10" max="10" width="21.57"/>
    <col customWidth="1" min="11" max="11" width="8.71"/>
    <col customWidth="1" min="23" max="23" width="20.14"/>
    <col customWidth="1" min="24" max="24" width="17.0"/>
    <col customWidth="1" min="25" max="25" width="17.57"/>
    <col customWidth="1" min="26" max="26" width="29.86"/>
    <col customWidth="1" min="27" max="27" width="19.71"/>
    <col customWidth="1" min="28" max="28" width="20.29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2" t="s">
        <v>12</v>
      </c>
      <c r="N1" s="4" t="s">
        <v>13</v>
      </c>
      <c r="O1" s="2" t="s">
        <v>14</v>
      </c>
      <c r="P1" s="4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2" t="s">
        <v>22</v>
      </c>
      <c r="X1" s="5" t="s">
        <v>23</v>
      </c>
      <c r="Y1" s="6" t="s">
        <v>24</v>
      </c>
      <c r="Z1" s="5" t="s">
        <v>25</v>
      </c>
      <c r="AA1" s="7" t="s">
        <v>26</v>
      </c>
      <c r="AB1" s="8" t="s">
        <v>27</v>
      </c>
    </row>
    <row r="2" ht="15.75" customHeight="1">
      <c r="A2" s="9">
        <v>80000.0</v>
      </c>
      <c r="B2" s="9" t="s">
        <v>28</v>
      </c>
      <c r="C2" s="9">
        <v>80020.0</v>
      </c>
      <c r="D2" s="9" t="s">
        <v>29</v>
      </c>
      <c r="E2" s="10">
        <v>44198.0</v>
      </c>
      <c r="F2" s="11" t="s">
        <v>30</v>
      </c>
      <c r="G2" s="12">
        <v>19.0</v>
      </c>
      <c r="H2" s="12">
        <v>19.0</v>
      </c>
      <c r="I2" s="13">
        <v>1.0</v>
      </c>
      <c r="J2" s="12">
        <v>19.0</v>
      </c>
      <c r="K2" s="12">
        <v>4.0</v>
      </c>
      <c r="L2" s="14">
        <v>0.21</v>
      </c>
      <c r="M2" s="12">
        <v>7.0</v>
      </c>
      <c r="N2" s="14">
        <v>0.37</v>
      </c>
      <c r="O2" s="12">
        <v>8.0</v>
      </c>
      <c r="P2" s="14">
        <v>0.42</v>
      </c>
      <c r="Q2" s="12">
        <v>0.0</v>
      </c>
      <c r="R2" s="14">
        <v>0.0</v>
      </c>
      <c r="S2" s="12">
        <v>0.0</v>
      </c>
      <c r="T2" s="14">
        <v>0.0</v>
      </c>
      <c r="U2" s="12">
        <v>0.0</v>
      </c>
      <c r="V2" s="14">
        <v>0.0</v>
      </c>
      <c r="W2" s="12">
        <v>18.0</v>
      </c>
      <c r="X2" s="12">
        <v>6.0</v>
      </c>
      <c r="Y2" s="15">
        <v>0.33</v>
      </c>
      <c r="Z2" s="12">
        <v>19.0</v>
      </c>
      <c r="AA2" s="12">
        <v>0.0</v>
      </c>
      <c r="AB2" s="16">
        <v>0.0</v>
      </c>
    </row>
    <row r="3" ht="15.75" customHeight="1">
      <c r="A3" s="9">
        <v>80000.0</v>
      </c>
      <c r="B3" s="9" t="s">
        <v>28</v>
      </c>
      <c r="C3" s="9">
        <v>80020.0</v>
      </c>
      <c r="D3" s="9" t="s">
        <v>29</v>
      </c>
      <c r="E3" s="10">
        <v>44260.0</v>
      </c>
      <c r="F3" s="11" t="s">
        <v>30</v>
      </c>
      <c r="G3" s="12">
        <v>18.0</v>
      </c>
      <c r="H3" s="12">
        <v>18.0</v>
      </c>
      <c r="I3" s="13">
        <v>1.0</v>
      </c>
      <c r="J3" s="12">
        <v>18.0</v>
      </c>
      <c r="K3" s="12">
        <v>0.0</v>
      </c>
      <c r="L3" s="14">
        <v>0.0</v>
      </c>
      <c r="M3" s="12">
        <v>1.0</v>
      </c>
      <c r="N3" s="14">
        <v>0.06</v>
      </c>
      <c r="O3" s="12">
        <v>7.0</v>
      </c>
      <c r="P3" s="14">
        <v>0.39</v>
      </c>
      <c r="Q3" s="12">
        <v>9.0</v>
      </c>
      <c r="R3" s="14">
        <v>0.5</v>
      </c>
      <c r="S3" s="12">
        <v>1.0</v>
      </c>
      <c r="T3" s="14">
        <v>0.06</v>
      </c>
      <c r="U3" s="12">
        <v>0.0</v>
      </c>
      <c r="V3" s="14">
        <v>0.0</v>
      </c>
      <c r="W3" s="12">
        <v>16.0</v>
      </c>
      <c r="X3" s="12">
        <v>13.0</v>
      </c>
      <c r="Y3" s="15">
        <v>0.81</v>
      </c>
      <c r="Z3" s="12">
        <v>18.0</v>
      </c>
      <c r="AA3" s="12">
        <v>9.0</v>
      </c>
      <c r="AB3" s="16">
        <v>0.5</v>
      </c>
    </row>
    <row r="4" ht="15.75" customHeight="1">
      <c r="A4" s="9">
        <v>80000.0</v>
      </c>
      <c r="B4" s="9" t="s">
        <v>28</v>
      </c>
      <c r="C4" s="9">
        <v>80020.0</v>
      </c>
      <c r="D4" s="9" t="s">
        <v>29</v>
      </c>
      <c r="E4" s="11" t="s">
        <v>30</v>
      </c>
      <c r="F4" s="11" t="s">
        <v>30</v>
      </c>
      <c r="G4" s="12">
        <v>46.0</v>
      </c>
      <c r="H4" s="12">
        <v>46.0</v>
      </c>
      <c r="I4" s="13">
        <v>1.0</v>
      </c>
      <c r="J4" s="12">
        <v>46.0</v>
      </c>
      <c r="K4" s="12">
        <v>7.0</v>
      </c>
      <c r="L4" s="14">
        <v>0.15</v>
      </c>
      <c r="M4" s="12">
        <v>12.0</v>
      </c>
      <c r="N4" s="14">
        <v>0.26</v>
      </c>
      <c r="O4" s="12">
        <v>16.0</v>
      </c>
      <c r="P4" s="14">
        <v>0.35</v>
      </c>
      <c r="Q4" s="12">
        <v>10.0</v>
      </c>
      <c r="R4" s="14">
        <v>0.22</v>
      </c>
      <c r="S4" s="12">
        <v>1.0</v>
      </c>
      <c r="T4" s="14">
        <v>0.02</v>
      </c>
      <c r="U4" s="12">
        <v>0.0</v>
      </c>
      <c r="V4" s="14">
        <v>0.0</v>
      </c>
      <c r="W4" s="12">
        <v>35.0</v>
      </c>
      <c r="X4" s="12">
        <v>19.0</v>
      </c>
      <c r="Y4" s="15">
        <v>0.54</v>
      </c>
      <c r="Z4" s="12">
        <v>46.0</v>
      </c>
      <c r="AA4" s="12">
        <v>10.0</v>
      </c>
      <c r="AB4" s="16">
        <v>0.22</v>
      </c>
    </row>
    <row r="5" ht="15.75" customHeight="1">
      <c r="A5" s="9">
        <v>350000.0</v>
      </c>
      <c r="B5" s="9" t="s">
        <v>31</v>
      </c>
      <c r="C5" s="9">
        <v>350016.0</v>
      </c>
      <c r="D5" s="9" t="s">
        <v>32</v>
      </c>
      <c r="E5" s="11" t="s">
        <v>33</v>
      </c>
      <c r="F5" s="11" t="s">
        <v>30</v>
      </c>
      <c r="G5" s="12">
        <v>42.0</v>
      </c>
      <c r="H5" s="12">
        <v>42.0</v>
      </c>
      <c r="I5" s="13">
        <v>1.0</v>
      </c>
      <c r="J5" s="12">
        <v>42.0</v>
      </c>
      <c r="K5" s="12">
        <v>26.0</v>
      </c>
      <c r="L5" s="14">
        <v>0.62</v>
      </c>
      <c r="M5" s="12">
        <v>7.0</v>
      </c>
      <c r="N5" s="14">
        <v>0.17</v>
      </c>
      <c r="O5" s="12">
        <v>6.0</v>
      </c>
      <c r="P5" s="14">
        <v>0.14</v>
      </c>
      <c r="Q5" s="12">
        <v>2.0</v>
      </c>
      <c r="R5" s="14">
        <v>0.05</v>
      </c>
      <c r="S5" s="12">
        <v>1.0</v>
      </c>
      <c r="T5" s="14">
        <v>0.02</v>
      </c>
      <c r="U5" s="12">
        <v>0.0</v>
      </c>
      <c r="V5" s="14">
        <v>0.0</v>
      </c>
      <c r="W5" s="9"/>
      <c r="X5" s="9"/>
      <c r="Y5" s="17"/>
      <c r="Z5" s="12">
        <v>42.0</v>
      </c>
      <c r="AA5" s="12">
        <v>1.0</v>
      </c>
      <c r="AB5" s="16">
        <v>0.02</v>
      </c>
    </row>
    <row r="6" ht="15.75" customHeight="1">
      <c r="A6" s="9">
        <v>350000.0</v>
      </c>
      <c r="B6" s="9" t="s">
        <v>31</v>
      </c>
      <c r="C6" s="9">
        <v>350016.0</v>
      </c>
      <c r="D6" s="9" t="s">
        <v>32</v>
      </c>
      <c r="E6" s="10">
        <v>44198.0</v>
      </c>
      <c r="F6" s="11" t="s">
        <v>30</v>
      </c>
      <c r="G6" s="12">
        <v>59.0</v>
      </c>
      <c r="H6" s="12">
        <v>59.0</v>
      </c>
      <c r="I6" s="13">
        <v>1.0</v>
      </c>
      <c r="J6" s="12">
        <v>51.0</v>
      </c>
      <c r="K6" s="12">
        <v>7.0</v>
      </c>
      <c r="L6" s="14">
        <v>0.14</v>
      </c>
      <c r="M6" s="12">
        <v>14.0</v>
      </c>
      <c r="N6" s="14">
        <v>0.27</v>
      </c>
      <c r="O6" s="12">
        <v>19.0</v>
      </c>
      <c r="P6" s="14">
        <v>0.37</v>
      </c>
      <c r="Q6" s="12">
        <v>11.0</v>
      </c>
      <c r="R6" s="14">
        <v>0.22</v>
      </c>
      <c r="S6" s="12">
        <v>0.0</v>
      </c>
      <c r="T6" s="14">
        <v>0.0</v>
      </c>
      <c r="U6" s="12">
        <v>0.0</v>
      </c>
      <c r="V6" s="14">
        <v>0.0</v>
      </c>
      <c r="W6" s="12">
        <v>51.0</v>
      </c>
      <c r="X6" s="12">
        <v>37.0</v>
      </c>
      <c r="Y6" s="15">
        <v>0.73</v>
      </c>
      <c r="Z6" s="12">
        <v>59.0</v>
      </c>
      <c r="AA6" s="12">
        <v>9.0</v>
      </c>
      <c r="AB6" s="16">
        <v>0.15</v>
      </c>
    </row>
    <row r="7" ht="15.75" customHeight="1">
      <c r="A7" s="9">
        <v>350000.0</v>
      </c>
      <c r="B7" s="9" t="s">
        <v>31</v>
      </c>
      <c r="C7" s="9">
        <v>350016.0</v>
      </c>
      <c r="D7" s="9" t="s">
        <v>32</v>
      </c>
      <c r="E7" s="11" t="s">
        <v>30</v>
      </c>
      <c r="F7" s="11" t="s">
        <v>30</v>
      </c>
      <c r="G7" s="12">
        <v>101.0</v>
      </c>
      <c r="H7" s="12">
        <v>101.0</v>
      </c>
      <c r="I7" s="13">
        <v>1.0</v>
      </c>
      <c r="J7" s="12">
        <v>93.0</v>
      </c>
      <c r="K7" s="12">
        <v>33.0</v>
      </c>
      <c r="L7" s="14">
        <v>0.35</v>
      </c>
      <c r="M7" s="12">
        <v>21.0</v>
      </c>
      <c r="N7" s="14">
        <v>0.23</v>
      </c>
      <c r="O7" s="12">
        <v>25.0</v>
      </c>
      <c r="P7" s="14">
        <v>0.27</v>
      </c>
      <c r="Q7" s="12">
        <v>13.0</v>
      </c>
      <c r="R7" s="14">
        <v>0.14</v>
      </c>
      <c r="S7" s="12">
        <v>1.0</v>
      </c>
      <c r="T7" s="14">
        <v>0.01</v>
      </c>
      <c r="U7" s="12">
        <v>0.0</v>
      </c>
      <c r="V7" s="14">
        <v>0.0</v>
      </c>
      <c r="W7" s="12">
        <v>51.0</v>
      </c>
      <c r="X7" s="12">
        <v>37.0</v>
      </c>
      <c r="Y7" s="15">
        <v>0.73</v>
      </c>
      <c r="Z7" s="12">
        <v>101.0</v>
      </c>
      <c r="AA7" s="12">
        <v>10.0</v>
      </c>
      <c r="AB7" s="16">
        <v>0.1</v>
      </c>
    </row>
    <row r="8" ht="15.75" customHeight="1">
      <c r="A8" s="9">
        <v>350000.0</v>
      </c>
      <c r="B8" s="9" t="s">
        <v>31</v>
      </c>
      <c r="C8" s="9">
        <v>350182.0</v>
      </c>
      <c r="D8" s="9" t="s">
        <v>34</v>
      </c>
      <c r="E8" s="11" t="s">
        <v>33</v>
      </c>
      <c r="F8" s="11" t="s">
        <v>30</v>
      </c>
      <c r="G8" s="12">
        <v>29.0</v>
      </c>
      <c r="H8" s="12">
        <v>28.0</v>
      </c>
      <c r="I8" s="13">
        <v>0.97</v>
      </c>
      <c r="J8" s="12">
        <v>28.0</v>
      </c>
      <c r="K8" s="12">
        <v>16.0</v>
      </c>
      <c r="L8" s="14">
        <v>0.57</v>
      </c>
      <c r="M8" s="12">
        <v>7.0</v>
      </c>
      <c r="N8" s="14">
        <v>0.25</v>
      </c>
      <c r="O8" s="12">
        <v>4.0</v>
      </c>
      <c r="P8" s="14">
        <v>0.14</v>
      </c>
      <c r="Q8" s="12">
        <v>1.0</v>
      </c>
      <c r="R8" s="14">
        <v>0.04</v>
      </c>
      <c r="S8" s="12">
        <v>0.0</v>
      </c>
      <c r="T8" s="14">
        <v>0.0</v>
      </c>
      <c r="U8" s="12">
        <v>0.0</v>
      </c>
      <c r="V8" s="14">
        <v>0.0</v>
      </c>
      <c r="W8" s="9"/>
      <c r="X8" s="9"/>
      <c r="Y8" s="17"/>
      <c r="Z8" s="12">
        <v>29.0</v>
      </c>
      <c r="AA8" s="12">
        <v>0.0</v>
      </c>
      <c r="AB8" s="16">
        <v>0.0</v>
      </c>
    </row>
    <row r="9" ht="15.75" customHeight="1">
      <c r="A9" s="9">
        <v>350000.0</v>
      </c>
      <c r="B9" s="9" t="s">
        <v>31</v>
      </c>
      <c r="C9" s="9">
        <v>350182.0</v>
      </c>
      <c r="D9" s="9" t="s">
        <v>34</v>
      </c>
      <c r="E9" s="10">
        <v>44198.0</v>
      </c>
      <c r="F9" s="11" t="s">
        <v>30</v>
      </c>
      <c r="G9" s="12">
        <v>59.0</v>
      </c>
      <c r="H9" s="12">
        <v>59.0</v>
      </c>
      <c r="I9" s="13">
        <v>1.0</v>
      </c>
      <c r="J9" s="12">
        <v>59.0</v>
      </c>
      <c r="K9" s="12">
        <v>4.0</v>
      </c>
      <c r="L9" s="14">
        <v>0.07</v>
      </c>
      <c r="M9" s="12">
        <v>19.0</v>
      </c>
      <c r="N9" s="14">
        <v>0.32</v>
      </c>
      <c r="O9" s="12">
        <v>21.0</v>
      </c>
      <c r="P9" s="14">
        <v>0.36</v>
      </c>
      <c r="Q9" s="12">
        <v>14.0</v>
      </c>
      <c r="R9" s="14">
        <v>0.24</v>
      </c>
      <c r="S9" s="12">
        <v>1.0</v>
      </c>
      <c r="T9" s="14">
        <v>0.02</v>
      </c>
      <c r="U9" s="12">
        <v>0.0</v>
      </c>
      <c r="V9" s="14">
        <v>0.0</v>
      </c>
      <c r="W9" s="12">
        <v>55.0</v>
      </c>
      <c r="X9" s="12">
        <v>35.0</v>
      </c>
      <c r="Y9" s="15">
        <v>0.64</v>
      </c>
      <c r="Z9" s="12">
        <v>59.0</v>
      </c>
      <c r="AA9" s="12">
        <v>10.0</v>
      </c>
      <c r="AB9" s="16">
        <v>0.17</v>
      </c>
    </row>
    <row r="10" ht="15.75" customHeight="1">
      <c r="A10" s="9">
        <v>350000.0</v>
      </c>
      <c r="B10" s="9" t="s">
        <v>31</v>
      </c>
      <c r="C10" s="9">
        <v>350182.0</v>
      </c>
      <c r="D10" s="9" t="s">
        <v>34</v>
      </c>
      <c r="E10" s="10">
        <v>44260.0</v>
      </c>
      <c r="F10" s="11" t="s">
        <v>30</v>
      </c>
      <c r="G10" s="12">
        <v>65.0</v>
      </c>
      <c r="H10" s="12">
        <v>65.0</v>
      </c>
      <c r="I10" s="13">
        <v>1.0</v>
      </c>
      <c r="J10" s="12">
        <v>65.0</v>
      </c>
      <c r="K10" s="12">
        <v>0.0</v>
      </c>
      <c r="L10" s="14">
        <v>0.0</v>
      </c>
      <c r="M10" s="12">
        <v>2.0</v>
      </c>
      <c r="N10" s="14">
        <v>0.03</v>
      </c>
      <c r="O10" s="12">
        <v>21.0</v>
      </c>
      <c r="P10" s="14">
        <v>0.32</v>
      </c>
      <c r="Q10" s="12">
        <v>28.0</v>
      </c>
      <c r="R10" s="14">
        <v>0.43</v>
      </c>
      <c r="S10" s="12">
        <v>10.0</v>
      </c>
      <c r="T10" s="14">
        <v>0.15</v>
      </c>
      <c r="U10" s="12">
        <v>4.0</v>
      </c>
      <c r="V10" s="14">
        <v>0.06</v>
      </c>
      <c r="W10" s="12">
        <v>64.0</v>
      </c>
      <c r="X10" s="12">
        <v>50.0</v>
      </c>
      <c r="Y10" s="15">
        <v>0.78</v>
      </c>
      <c r="Z10" s="12">
        <v>65.0</v>
      </c>
      <c r="AA10" s="12">
        <v>37.0</v>
      </c>
      <c r="AB10" s="16">
        <v>0.57</v>
      </c>
    </row>
    <row r="11" ht="15.75" customHeight="1">
      <c r="A11" s="9">
        <v>350000.0</v>
      </c>
      <c r="B11" s="9" t="s">
        <v>31</v>
      </c>
      <c r="C11" s="9">
        <v>350182.0</v>
      </c>
      <c r="D11" s="9" t="s">
        <v>34</v>
      </c>
      <c r="E11" s="10">
        <v>44355.0</v>
      </c>
      <c r="F11" s="11" t="s">
        <v>30</v>
      </c>
      <c r="G11" s="12">
        <v>36.0</v>
      </c>
      <c r="H11" s="12">
        <v>36.0</v>
      </c>
      <c r="I11" s="13">
        <v>1.0</v>
      </c>
      <c r="J11" s="12">
        <v>36.0</v>
      </c>
      <c r="K11" s="12">
        <v>0.0</v>
      </c>
      <c r="L11" s="14">
        <v>0.0</v>
      </c>
      <c r="M11" s="12">
        <v>1.0</v>
      </c>
      <c r="N11" s="14">
        <v>0.03</v>
      </c>
      <c r="O11" s="12">
        <v>9.0</v>
      </c>
      <c r="P11" s="14">
        <v>0.25</v>
      </c>
      <c r="Q11" s="12">
        <v>23.0</v>
      </c>
      <c r="R11" s="14">
        <v>0.64</v>
      </c>
      <c r="S11" s="12">
        <v>3.0</v>
      </c>
      <c r="T11" s="14">
        <v>0.08</v>
      </c>
      <c r="U11" s="12">
        <v>0.0</v>
      </c>
      <c r="V11" s="14">
        <v>0.0</v>
      </c>
      <c r="W11" s="12">
        <v>35.0</v>
      </c>
      <c r="X11" s="12">
        <v>21.0</v>
      </c>
      <c r="Y11" s="15">
        <v>0.6</v>
      </c>
      <c r="Z11" s="12">
        <v>36.0</v>
      </c>
      <c r="AA11" s="12">
        <v>18.0</v>
      </c>
      <c r="AB11" s="16">
        <v>0.5</v>
      </c>
    </row>
    <row r="12" ht="15.75" customHeight="1">
      <c r="A12" s="9">
        <v>350000.0</v>
      </c>
      <c r="B12" s="9" t="s">
        <v>31</v>
      </c>
      <c r="C12" s="9">
        <v>350182.0</v>
      </c>
      <c r="D12" s="9" t="s">
        <v>34</v>
      </c>
      <c r="E12" s="11" t="s">
        <v>30</v>
      </c>
      <c r="F12" s="11" t="s">
        <v>30</v>
      </c>
      <c r="G12" s="12">
        <v>189.0</v>
      </c>
      <c r="H12" s="12">
        <v>188.0</v>
      </c>
      <c r="I12" s="13">
        <v>0.99</v>
      </c>
      <c r="J12" s="12">
        <v>188.0</v>
      </c>
      <c r="K12" s="12">
        <v>20.0</v>
      </c>
      <c r="L12" s="14">
        <v>0.11</v>
      </c>
      <c r="M12" s="12">
        <v>29.0</v>
      </c>
      <c r="N12" s="14">
        <v>0.15</v>
      </c>
      <c r="O12" s="12">
        <v>55.0</v>
      </c>
      <c r="P12" s="14">
        <v>0.29</v>
      </c>
      <c r="Q12" s="12">
        <v>66.0</v>
      </c>
      <c r="R12" s="14">
        <v>0.35</v>
      </c>
      <c r="S12" s="12">
        <v>14.0</v>
      </c>
      <c r="T12" s="14">
        <v>0.07</v>
      </c>
      <c r="U12" s="12">
        <v>4.0</v>
      </c>
      <c r="V12" s="14">
        <v>0.02</v>
      </c>
      <c r="W12" s="12">
        <v>154.0</v>
      </c>
      <c r="X12" s="12">
        <v>106.0</v>
      </c>
      <c r="Y12" s="15">
        <v>0.69</v>
      </c>
      <c r="Z12" s="12">
        <v>189.0</v>
      </c>
      <c r="AA12" s="12">
        <v>65.0</v>
      </c>
      <c r="AB12" s="16">
        <v>0.34</v>
      </c>
    </row>
    <row r="13" ht="15.75" customHeight="1">
      <c r="A13" s="9">
        <v>350000.0</v>
      </c>
      <c r="B13" s="9" t="s">
        <v>31</v>
      </c>
      <c r="C13" s="9">
        <v>350308.0</v>
      </c>
      <c r="D13" s="9" t="s">
        <v>35</v>
      </c>
      <c r="E13" s="11" t="s">
        <v>33</v>
      </c>
      <c r="F13" s="11" t="s">
        <v>30</v>
      </c>
      <c r="G13" s="12">
        <v>34.0</v>
      </c>
      <c r="H13" s="12">
        <v>34.0</v>
      </c>
      <c r="I13" s="13">
        <v>1.0</v>
      </c>
      <c r="J13" s="12">
        <v>34.0</v>
      </c>
      <c r="K13" s="12">
        <v>18.0</v>
      </c>
      <c r="L13" s="14">
        <v>0.53</v>
      </c>
      <c r="M13" s="12">
        <v>12.0</v>
      </c>
      <c r="N13" s="14">
        <v>0.35</v>
      </c>
      <c r="O13" s="12">
        <v>2.0</v>
      </c>
      <c r="P13" s="14">
        <v>0.06</v>
      </c>
      <c r="Q13" s="12">
        <v>2.0</v>
      </c>
      <c r="R13" s="14">
        <v>0.06</v>
      </c>
      <c r="S13" s="12">
        <v>0.0</v>
      </c>
      <c r="T13" s="14">
        <v>0.0</v>
      </c>
      <c r="U13" s="12">
        <v>0.0</v>
      </c>
      <c r="V13" s="14">
        <v>0.0</v>
      </c>
      <c r="W13" s="9"/>
      <c r="X13" s="9"/>
      <c r="Y13" s="17"/>
      <c r="Z13" s="12">
        <v>34.0</v>
      </c>
      <c r="AA13" s="12">
        <v>0.0</v>
      </c>
      <c r="AB13" s="16">
        <v>0.0</v>
      </c>
    </row>
    <row r="14" ht="15.75" customHeight="1">
      <c r="A14" s="9">
        <v>350000.0</v>
      </c>
      <c r="B14" s="9" t="s">
        <v>31</v>
      </c>
      <c r="C14" s="9">
        <v>350308.0</v>
      </c>
      <c r="D14" s="9" t="s">
        <v>35</v>
      </c>
      <c r="E14" s="10">
        <v>44198.0</v>
      </c>
      <c r="F14" s="11" t="s">
        <v>30</v>
      </c>
      <c r="G14" s="12">
        <v>66.0</v>
      </c>
      <c r="H14" s="12">
        <v>64.0</v>
      </c>
      <c r="I14" s="13">
        <v>0.97</v>
      </c>
      <c r="J14" s="12">
        <v>64.0</v>
      </c>
      <c r="K14" s="12">
        <v>18.0</v>
      </c>
      <c r="L14" s="14">
        <v>0.28</v>
      </c>
      <c r="M14" s="12">
        <v>25.0</v>
      </c>
      <c r="N14" s="14">
        <v>0.39</v>
      </c>
      <c r="O14" s="12">
        <v>20.0</v>
      </c>
      <c r="P14" s="14">
        <v>0.31</v>
      </c>
      <c r="Q14" s="12">
        <v>1.0</v>
      </c>
      <c r="R14" s="14">
        <v>0.02</v>
      </c>
      <c r="S14" s="12">
        <v>0.0</v>
      </c>
      <c r="T14" s="14">
        <v>0.0</v>
      </c>
      <c r="U14" s="12">
        <v>0.0</v>
      </c>
      <c r="V14" s="14">
        <v>0.0</v>
      </c>
      <c r="W14" s="12">
        <v>46.0</v>
      </c>
      <c r="X14" s="12">
        <v>19.0</v>
      </c>
      <c r="Y14" s="15">
        <v>0.41</v>
      </c>
      <c r="Z14" s="12">
        <v>66.0</v>
      </c>
      <c r="AA14" s="12">
        <v>0.0</v>
      </c>
      <c r="AB14" s="16">
        <v>0.0</v>
      </c>
    </row>
    <row r="15" ht="15.75" customHeight="1">
      <c r="A15" s="9">
        <v>350000.0</v>
      </c>
      <c r="B15" s="9" t="s">
        <v>31</v>
      </c>
      <c r="C15" s="9">
        <v>350308.0</v>
      </c>
      <c r="D15" s="9" t="s">
        <v>35</v>
      </c>
      <c r="E15" s="10">
        <v>44260.0</v>
      </c>
      <c r="F15" s="11" t="s">
        <v>30</v>
      </c>
      <c r="G15" s="12">
        <v>77.0</v>
      </c>
      <c r="H15" s="12">
        <v>76.0</v>
      </c>
      <c r="I15" s="13">
        <v>0.99</v>
      </c>
      <c r="J15" s="12">
        <v>76.0</v>
      </c>
      <c r="K15" s="12">
        <v>8.0</v>
      </c>
      <c r="L15" s="14">
        <v>0.11</v>
      </c>
      <c r="M15" s="12">
        <v>11.0</v>
      </c>
      <c r="N15" s="14">
        <v>0.14</v>
      </c>
      <c r="O15" s="12">
        <v>30.0</v>
      </c>
      <c r="P15" s="14">
        <v>0.39</v>
      </c>
      <c r="Q15" s="12">
        <v>25.0</v>
      </c>
      <c r="R15" s="14">
        <v>0.33</v>
      </c>
      <c r="S15" s="12">
        <v>2.0</v>
      </c>
      <c r="T15" s="14">
        <v>0.03</v>
      </c>
      <c r="U15" s="12">
        <v>0.0</v>
      </c>
      <c r="V15" s="14">
        <v>0.0</v>
      </c>
      <c r="W15" s="12">
        <v>59.0</v>
      </c>
      <c r="X15" s="12">
        <v>26.0</v>
      </c>
      <c r="Y15" s="15">
        <v>0.44</v>
      </c>
      <c r="Z15" s="12">
        <v>77.0</v>
      </c>
      <c r="AA15" s="12">
        <v>14.0</v>
      </c>
      <c r="AB15" s="16">
        <v>0.18</v>
      </c>
    </row>
    <row r="16" ht="15.75" customHeight="1">
      <c r="A16" s="9">
        <v>350000.0</v>
      </c>
      <c r="B16" s="9" t="s">
        <v>31</v>
      </c>
      <c r="C16" s="9">
        <v>350308.0</v>
      </c>
      <c r="D16" s="9" t="s">
        <v>35</v>
      </c>
      <c r="E16" s="10">
        <v>44355.0</v>
      </c>
      <c r="F16" s="11" t="s">
        <v>30</v>
      </c>
      <c r="G16" s="12">
        <v>26.0</v>
      </c>
      <c r="H16" s="12">
        <v>26.0</v>
      </c>
      <c r="I16" s="13">
        <v>1.0</v>
      </c>
      <c r="J16" s="12">
        <v>26.0</v>
      </c>
      <c r="K16" s="12">
        <v>3.0</v>
      </c>
      <c r="L16" s="14">
        <v>0.12</v>
      </c>
      <c r="M16" s="12">
        <v>8.0</v>
      </c>
      <c r="N16" s="14">
        <v>0.31</v>
      </c>
      <c r="O16" s="12">
        <v>13.0</v>
      </c>
      <c r="P16" s="14">
        <v>0.5</v>
      </c>
      <c r="Q16" s="12">
        <v>2.0</v>
      </c>
      <c r="R16" s="14">
        <v>0.08</v>
      </c>
      <c r="S16" s="12">
        <v>0.0</v>
      </c>
      <c r="T16" s="14">
        <v>0.0</v>
      </c>
      <c r="U16" s="12">
        <v>0.0</v>
      </c>
      <c r="V16" s="14">
        <v>0.0</v>
      </c>
      <c r="W16" s="12">
        <v>19.0</v>
      </c>
      <c r="X16" s="12">
        <v>4.0</v>
      </c>
      <c r="Y16" s="15">
        <v>0.21</v>
      </c>
      <c r="Z16" s="12">
        <v>26.0</v>
      </c>
      <c r="AA16" s="12">
        <v>1.0</v>
      </c>
      <c r="AB16" s="16">
        <v>0.04</v>
      </c>
    </row>
    <row r="17" ht="15.75" customHeight="1">
      <c r="A17" s="9">
        <v>350000.0</v>
      </c>
      <c r="B17" s="9" t="s">
        <v>31</v>
      </c>
      <c r="C17" s="9">
        <v>350308.0</v>
      </c>
      <c r="D17" s="9" t="s">
        <v>35</v>
      </c>
      <c r="E17" s="11" t="s">
        <v>30</v>
      </c>
      <c r="F17" s="11" t="s">
        <v>30</v>
      </c>
      <c r="G17" s="12">
        <v>203.0</v>
      </c>
      <c r="H17" s="12">
        <v>200.0</v>
      </c>
      <c r="I17" s="13">
        <v>0.99</v>
      </c>
      <c r="J17" s="12">
        <v>200.0</v>
      </c>
      <c r="K17" s="12">
        <v>47.0</v>
      </c>
      <c r="L17" s="14">
        <v>0.24</v>
      </c>
      <c r="M17" s="12">
        <v>56.0</v>
      </c>
      <c r="N17" s="14">
        <v>0.28</v>
      </c>
      <c r="O17" s="12">
        <v>65.0</v>
      </c>
      <c r="P17" s="14">
        <v>0.33</v>
      </c>
      <c r="Q17" s="12">
        <v>30.0</v>
      </c>
      <c r="R17" s="14">
        <v>0.15</v>
      </c>
      <c r="S17" s="12">
        <v>2.0</v>
      </c>
      <c r="T17" s="14">
        <v>0.01</v>
      </c>
      <c r="U17" s="12">
        <v>0.0</v>
      </c>
      <c r="V17" s="14">
        <v>0.0</v>
      </c>
      <c r="W17" s="12">
        <v>124.0</v>
      </c>
      <c r="X17" s="12">
        <v>49.0</v>
      </c>
      <c r="Y17" s="15">
        <v>0.4</v>
      </c>
      <c r="Z17" s="12">
        <v>203.0</v>
      </c>
      <c r="AA17" s="12">
        <v>15.0</v>
      </c>
      <c r="AB17" s="16">
        <v>0.07</v>
      </c>
    </row>
    <row r="18" ht="15.75" customHeight="1">
      <c r="A18" s="9">
        <v>350000.0</v>
      </c>
      <c r="B18" s="9" t="s">
        <v>31</v>
      </c>
      <c r="C18" s="9">
        <v>350549.0</v>
      </c>
      <c r="D18" s="9" t="s">
        <v>36</v>
      </c>
      <c r="E18" s="10">
        <v>44451.0</v>
      </c>
      <c r="F18" s="11" t="s">
        <v>30</v>
      </c>
      <c r="G18" s="12">
        <v>153.0</v>
      </c>
      <c r="H18" s="12">
        <v>148.0</v>
      </c>
      <c r="I18" s="13">
        <v>0.97</v>
      </c>
      <c r="J18" s="12">
        <v>148.0</v>
      </c>
      <c r="K18" s="12">
        <v>16.0</v>
      </c>
      <c r="L18" s="14">
        <v>0.11</v>
      </c>
      <c r="M18" s="12">
        <v>29.0</v>
      </c>
      <c r="N18" s="14">
        <v>0.2</v>
      </c>
      <c r="O18" s="12">
        <v>76.0</v>
      </c>
      <c r="P18" s="14">
        <v>0.51</v>
      </c>
      <c r="Q18" s="12">
        <v>24.0</v>
      </c>
      <c r="R18" s="14">
        <v>0.16</v>
      </c>
      <c r="S18" s="12">
        <v>3.0</v>
      </c>
      <c r="T18" s="14">
        <v>0.02</v>
      </c>
      <c r="U18" s="12">
        <v>0.0</v>
      </c>
      <c r="V18" s="14">
        <v>0.0</v>
      </c>
      <c r="W18" s="12">
        <v>143.0</v>
      </c>
      <c r="X18" s="12">
        <v>36.0</v>
      </c>
      <c r="Y18" s="15">
        <v>0.25</v>
      </c>
      <c r="Z18" s="12">
        <v>153.0</v>
      </c>
      <c r="AA18" s="12">
        <v>18.0</v>
      </c>
      <c r="AB18" s="16">
        <v>0.12</v>
      </c>
    </row>
    <row r="19" ht="15.75" customHeight="1">
      <c r="A19" s="9">
        <v>350000.0</v>
      </c>
      <c r="B19" s="9" t="s">
        <v>31</v>
      </c>
      <c r="C19" s="9">
        <v>350549.0</v>
      </c>
      <c r="D19" s="9" t="s">
        <v>36</v>
      </c>
      <c r="E19" s="11" t="s">
        <v>30</v>
      </c>
      <c r="F19" s="11" t="s">
        <v>30</v>
      </c>
      <c r="G19" s="12">
        <v>153.0</v>
      </c>
      <c r="H19" s="12">
        <v>148.0</v>
      </c>
      <c r="I19" s="13">
        <v>0.97</v>
      </c>
      <c r="J19" s="12">
        <v>148.0</v>
      </c>
      <c r="K19" s="12">
        <v>16.0</v>
      </c>
      <c r="L19" s="14">
        <v>0.11</v>
      </c>
      <c r="M19" s="12">
        <v>29.0</v>
      </c>
      <c r="N19" s="14">
        <v>0.2</v>
      </c>
      <c r="O19" s="12">
        <v>76.0</v>
      </c>
      <c r="P19" s="14">
        <v>0.51</v>
      </c>
      <c r="Q19" s="12">
        <v>24.0</v>
      </c>
      <c r="R19" s="14">
        <v>0.16</v>
      </c>
      <c r="S19" s="12">
        <v>3.0</v>
      </c>
      <c r="T19" s="14">
        <v>0.02</v>
      </c>
      <c r="U19" s="12">
        <v>0.0</v>
      </c>
      <c r="V19" s="14">
        <v>0.0</v>
      </c>
      <c r="W19" s="12">
        <v>143.0</v>
      </c>
      <c r="X19" s="12">
        <v>36.0</v>
      </c>
      <c r="Y19" s="15">
        <v>0.25</v>
      </c>
      <c r="Z19" s="12">
        <v>153.0</v>
      </c>
      <c r="AA19" s="12">
        <v>18.0</v>
      </c>
      <c r="AB19" s="16">
        <v>0.12</v>
      </c>
    </row>
    <row r="20" ht="15.75" customHeight="1">
      <c r="A20" s="9">
        <v>350000.0</v>
      </c>
      <c r="B20" s="9" t="s">
        <v>31</v>
      </c>
      <c r="C20" s="9">
        <v>350656.0</v>
      </c>
      <c r="D20" s="9" t="s">
        <v>37</v>
      </c>
      <c r="E20" s="11" t="s">
        <v>33</v>
      </c>
      <c r="F20" s="11" t="s">
        <v>30</v>
      </c>
      <c r="G20" s="12">
        <v>36.0</v>
      </c>
      <c r="H20" s="12">
        <v>36.0</v>
      </c>
      <c r="I20" s="13">
        <v>1.0</v>
      </c>
      <c r="J20" s="12">
        <v>36.0</v>
      </c>
      <c r="K20" s="12">
        <v>26.0</v>
      </c>
      <c r="L20" s="14">
        <v>0.72</v>
      </c>
      <c r="M20" s="12">
        <v>6.0</v>
      </c>
      <c r="N20" s="14">
        <v>0.17</v>
      </c>
      <c r="O20" s="12">
        <v>3.0</v>
      </c>
      <c r="P20" s="14">
        <v>0.08</v>
      </c>
      <c r="Q20" s="12">
        <v>1.0</v>
      </c>
      <c r="R20" s="14">
        <v>0.03</v>
      </c>
      <c r="S20" s="12">
        <v>0.0</v>
      </c>
      <c r="T20" s="14">
        <v>0.0</v>
      </c>
      <c r="U20" s="12">
        <v>0.0</v>
      </c>
      <c r="V20" s="14">
        <v>0.0</v>
      </c>
      <c r="W20" s="9"/>
      <c r="X20" s="9"/>
      <c r="Y20" s="17"/>
      <c r="Z20" s="12">
        <v>36.0</v>
      </c>
      <c r="AA20" s="12">
        <v>0.0</v>
      </c>
      <c r="AB20" s="16">
        <v>0.0</v>
      </c>
    </row>
    <row r="21" ht="15.75" customHeight="1">
      <c r="A21" s="9">
        <v>350000.0</v>
      </c>
      <c r="B21" s="9" t="s">
        <v>31</v>
      </c>
      <c r="C21" s="9">
        <v>350656.0</v>
      </c>
      <c r="D21" s="9" t="s">
        <v>37</v>
      </c>
      <c r="E21" s="10">
        <v>44198.0</v>
      </c>
      <c r="F21" s="11" t="s">
        <v>30</v>
      </c>
      <c r="G21" s="12">
        <v>110.0</v>
      </c>
      <c r="H21" s="12">
        <v>110.0</v>
      </c>
      <c r="I21" s="13">
        <v>1.0</v>
      </c>
      <c r="J21" s="12">
        <v>104.0</v>
      </c>
      <c r="K21" s="12">
        <v>15.0</v>
      </c>
      <c r="L21" s="14">
        <v>0.14</v>
      </c>
      <c r="M21" s="12">
        <v>41.0</v>
      </c>
      <c r="N21" s="14">
        <v>0.39</v>
      </c>
      <c r="O21" s="12">
        <v>35.0</v>
      </c>
      <c r="P21" s="14">
        <v>0.34</v>
      </c>
      <c r="Q21" s="12">
        <v>13.0</v>
      </c>
      <c r="R21" s="14">
        <v>0.13</v>
      </c>
      <c r="S21" s="12">
        <v>0.0</v>
      </c>
      <c r="T21" s="14">
        <v>0.0</v>
      </c>
      <c r="U21" s="12">
        <v>0.0</v>
      </c>
      <c r="V21" s="14">
        <v>0.0</v>
      </c>
      <c r="W21" s="12">
        <v>97.0</v>
      </c>
      <c r="X21" s="12">
        <v>50.0</v>
      </c>
      <c r="Y21" s="15">
        <v>0.52</v>
      </c>
      <c r="Z21" s="12">
        <v>110.0</v>
      </c>
      <c r="AA21" s="12">
        <v>5.0</v>
      </c>
      <c r="AB21" s="16">
        <v>0.05</v>
      </c>
    </row>
    <row r="22" ht="15.75" customHeight="1">
      <c r="A22" s="9">
        <v>350000.0</v>
      </c>
      <c r="B22" s="9" t="s">
        <v>31</v>
      </c>
      <c r="C22" s="9">
        <v>350656.0</v>
      </c>
      <c r="D22" s="9" t="s">
        <v>37</v>
      </c>
      <c r="E22" s="10">
        <v>44260.0</v>
      </c>
      <c r="F22" s="11" t="s">
        <v>30</v>
      </c>
      <c r="G22" s="12">
        <v>155.0</v>
      </c>
      <c r="H22" s="12">
        <v>155.0</v>
      </c>
      <c r="I22" s="13">
        <v>1.0</v>
      </c>
      <c r="J22" s="12">
        <v>144.0</v>
      </c>
      <c r="K22" s="12">
        <v>8.0</v>
      </c>
      <c r="L22" s="14">
        <v>0.06</v>
      </c>
      <c r="M22" s="12">
        <v>18.0</v>
      </c>
      <c r="N22" s="14">
        <v>0.13</v>
      </c>
      <c r="O22" s="12">
        <v>52.0</v>
      </c>
      <c r="P22" s="14">
        <v>0.36</v>
      </c>
      <c r="Q22" s="12">
        <v>46.0</v>
      </c>
      <c r="R22" s="14">
        <v>0.32</v>
      </c>
      <c r="S22" s="12">
        <v>16.0</v>
      </c>
      <c r="T22" s="14">
        <v>0.11</v>
      </c>
      <c r="U22" s="12">
        <v>4.0</v>
      </c>
      <c r="V22" s="14">
        <v>0.03</v>
      </c>
      <c r="W22" s="12">
        <v>149.0</v>
      </c>
      <c r="X22" s="12">
        <v>95.0</v>
      </c>
      <c r="Y22" s="15">
        <v>0.64</v>
      </c>
      <c r="Z22" s="12">
        <v>155.0</v>
      </c>
      <c r="AA22" s="12">
        <v>55.0</v>
      </c>
      <c r="AB22" s="16">
        <v>0.35</v>
      </c>
    </row>
    <row r="23" ht="15.75" customHeight="1">
      <c r="A23" s="9">
        <v>350000.0</v>
      </c>
      <c r="B23" s="9" t="s">
        <v>31</v>
      </c>
      <c r="C23" s="9">
        <v>350656.0</v>
      </c>
      <c r="D23" s="9" t="s">
        <v>37</v>
      </c>
      <c r="E23" s="10">
        <v>44355.0</v>
      </c>
      <c r="F23" s="11" t="s">
        <v>30</v>
      </c>
      <c r="G23" s="12">
        <v>260.0</v>
      </c>
      <c r="H23" s="12">
        <v>259.0</v>
      </c>
      <c r="I23" s="13">
        <v>1.0</v>
      </c>
      <c r="J23" s="12">
        <v>250.0</v>
      </c>
      <c r="K23" s="12">
        <v>22.0</v>
      </c>
      <c r="L23" s="14">
        <v>0.09</v>
      </c>
      <c r="M23" s="12">
        <v>38.0</v>
      </c>
      <c r="N23" s="14">
        <v>0.15</v>
      </c>
      <c r="O23" s="12">
        <v>88.0</v>
      </c>
      <c r="P23" s="14">
        <v>0.35</v>
      </c>
      <c r="Q23" s="12">
        <v>93.0</v>
      </c>
      <c r="R23" s="14">
        <v>0.37</v>
      </c>
      <c r="S23" s="12">
        <v>9.0</v>
      </c>
      <c r="T23" s="14">
        <v>0.04</v>
      </c>
      <c r="U23" s="12">
        <v>0.0</v>
      </c>
      <c r="V23" s="14">
        <v>0.0</v>
      </c>
      <c r="W23" s="12">
        <v>235.0</v>
      </c>
      <c r="X23" s="12">
        <v>101.0</v>
      </c>
      <c r="Y23" s="15">
        <v>0.43</v>
      </c>
      <c r="Z23" s="12">
        <v>260.0</v>
      </c>
      <c r="AA23" s="12">
        <v>77.0</v>
      </c>
      <c r="AB23" s="16">
        <v>0.3</v>
      </c>
    </row>
    <row r="24" ht="15.75" customHeight="1">
      <c r="A24" s="9">
        <v>350000.0</v>
      </c>
      <c r="B24" s="9" t="s">
        <v>31</v>
      </c>
      <c r="C24" s="9">
        <v>350656.0</v>
      </c>
      <c r="D24" s="9" t="s">
        <v>37</v>
      </c>
      <c r="E24" s="11" t="s">
        <v>30</v>
      </c>
      <c r="F24" s="11" t="s">
        <v>30</v>
      </c>
      <c r="G24" s="12">
        <v>561.0</v>
      </c>
      <c r="H24" s="12">
        <v>560.0</v>
      </c>
      <c r="I24" s="13">
        <v>1.0</v>
      </c>
      <c r="J24" s="12">
        <v>534.0</v>
      </c>
      <c r="K24" s="12">
        <v>71.0</v>
      </c>
      <c r="L24" s="14">
        <v>0.13</v>
      </c>
      <c r="M24" s="12">
        <v>103.0</v>
      </c>
      <c r="N24" s="14">
        <v>0.19</v>
      </c>
      <c r="O24" s="12">
        <v>178.0</v>
      </c>
      <c r="P24" s="14">
        <v>0.33</v>
      </c>
      <c r="Q24" s="12">
        <v>153.0</v>
      </c>
      <c r="R24" s="14">
        <v>0.29</v>
      </c>
      <c r="S24" s="12">
        <v>25.0</v>
      </c>
      <c r="T24" s="14">
        <v>0.05</v>
      </c>
      <c r="U24" s="12">
        <v>4.0</v>
      </c>
      <c r="V24" s="14">
        <v>0.01</v>
      </c>
      <c r="W24" s="12">
        <v>481.0</v>
      </c>
      <c r="X24" s="12">
        <v>246.0</v>
      </c>
      <c r="Y24" s="15">
        <v>0.51</v>
      </c>
      <c r="Z24" s="12">
        <v>561.0</v>
      </c>
      <c r="AA24" s="12">
        <v>137.0</v>
      </c>
      <c r="AB24" s="16">
        <v>0.24</v>
      </c>
    </row>
    <row r="25" ht="15.75" customHeight="1">
      <c r="A25" s="9">
        <v>350000.0</v>
      </c>
      <c r="B25" s="9" t="s">
        <v>31</v>
      </c>
      <c r="C25" s="9">
        <v>350691.0</v>
      </c>
      <c r="D25" s="9" t="s">
        <v>38</v>
      </c>
      <c r="E25" s="11" t="s">
        <v>33</v>
      </c>
      <c r="F25" s="11" t="s">
        <v>30</v>
      </c>
      <c r="G25" s="12">
        <v>34.0</v>
      </c>
      <c r="H25" s="12">
        <v>34.0</v>
      </c>
      <c r="I25" s="13">
        <v>1.0</v>
      </c>
      <c r="J25" s="12">
        <v>34.0</v>
      </c>
      <c r="K25" s="12">
        <v>21.0</v>
      </c>
      <c r="L25" s="14">
        <v>0.62</v>
      </c>
      <c r="M25" s="12">
        <v>9.0</v>
      </c>
      <c r="N25" s="14">
        <v>0.26</v>
      </c>
      <c r="O25" s="12">
        <v>2.0</v>
      </c>
      <c r="P25" s="14">
        <v>0.06</v>
      </c>
      <c r="Q25" s="12">
        <v>2.0</v>
      </c>
      <c r="R25" s="14">
        <v>0.06</v>
      </c>
      <c r="S25" s="12">
        <v>0.0</v>
      </c>
      <c r="T25" s="14">
        <v>0.0</v>
      </c>
      <c r="U25" s="12">
        <v>0.0</v>
      </c>
      <c r="V25" s="14">
        <v>0.0</v>
      </c>
      <c r="W25" s="9"/>
      <c r="X25" s="9"/>
      <c r="Y25" s="17"/>
      <c r="Z25" s="12">
        <v>34.0</v>
      </c>
      <c r="AA25" s="12">
        <v>0.0</v>
      </c>
      <c r="AB25" s="16">
        <v>0.0</v>
      </c>
    </row>
    <row r="26" ht="15.75" customHeight="1">
      <c r="A26" s="9">
        <v>350000.0</v>
      </c>
      <c r="B26" s="9" t="s">
        <v>31</v>
      </c>
      <c r="C26" s="9">
        <v>350691.0</v>
      </c>
      <c r="D26" s="9" t="s">
        <v>38</v>
      </c>
      <c r="E26" s="10">
        <v>44198.0</v>
      </c>
      <c r="F26" s="11" t="s">
        <v>30</v>
      </c>
      <c r="G26" s="12">
        <v>66.0</v>
      </c>
      <c r="H26" s="12">
        <v>66.0</v>
      </c>
      <c r="I26" s="13">
        <v>1.0</v>
      </c>
      <c r="J26" s="12">
        <v>66.0</v>
      </c>
      <c r="K26" s="12">
        <v>5.0</v>
      </c>
      <c r="L26" s="14">
        <v>0.08</v>
      </c>
      <c r="M26" s="12">
        <v>15.0</v>
      </c>
      <c r="N26" s="14">
        <v>0.23</v>
      </c>
      <c r="O26" s="12">
        <v>36.0</v>
      </c>
      <c r="P26" s="14">
        <v>0.55</v>
      </c>
      <c r="Q26" s="12">
        <v>9.0</v>
      </c>
      <c r="R26" s="14">
        <v>0.14</v>
      </c>
      <c r="S26" s="12">
        <v>1.0</v>
      </c>
      <c r="T26" s="14">
        <v>0.02</v>
      </c>
      <c r="U26" s="12">
        <v>0.0</v>
      </c>
      <c r="V26" s="14">
        <v>0.0</v>
      </c>
      <c r="W26" s="12">
        <v>62.0</v>
      </c>
      <c r="X26" s="12">
        <v>39.0</v>
      </c>
      <c r="Y26" s="15">
        <v>0.63</v>
      </c>
      <c r="Z26" s="12">
        <v>66.0</v>
      </c>
      <c r="AA26" s="12">
        <v>6.0</v>
      </c>
      <c r="AB26" s="16">
        <v>0.09</v>
      </c>
    </row>
    <row r="27" ht="15.75" customHeight="1">
      <c r="A27" s="9">
        <v>350000.0</v>
      </c>
      <c r="B27" s="9" t="s">
        <v>31</v>
      </c>
      <c r="C27" s="9">
        <v>350691.0</v>
      </c>
      <c r="D27" s="9" t="s">
        <v>38</v>
      </c>
      <c r="E27" s="10">
        <v>44260.0</v>
      </c>
      <c r="F27" s="11" t="s">
        <v>30</v>
      </c>
      <c r="G27" s="12">
        <v>92.0</v>
      </c>
      <c r="H27" s="12">
        <v>91.0</v>
      </c>
      <c r="I27" s="13">
        <v>0.99</v>
      </c>
      <c r="J27" s="12">
        <v>91.0</v>
      </c>
      <c r="K27" s="12">
        <v>8.0</v>
      </c>
      <c r="L27" s="14">
        <v>0.09</v>
      </c>
      <c r="M27" s="12">
        <v>7.0</v>
      </c>
      <c r="N27" s="14">
        <v>0.08</v>
      </c>
      <c r="O27" s="12">
        <v>41.0</v>
      </c>
      <c r="P27" s="14">
        <v>0.45</v>
      </c>
      <c r="Q27" s="12">
        <v>23.0</v>
      </c>
      <c r="R27" s="14">
        <v>0.25</v>
      </c>
      <c r="S27" s="12">
        <v>11.0</v>
      </c>
      <c r="T27" s="14">
        <v>0.12</v>
      </c>
      <c r="U27" s="12">
        <v>1.0</v>
      </c>
      <c r="V27" s="14">
        <v>0.01</v>
      </c>
      <c r="W27" s="12">
        <v>81.0</v>
      </c>
      <c r="X27" s="12">
        <v>38.0</v>
      </c>
      <c r="Y27" s="15">
        <v>0.47</v>
      </c>
      <c r="Z27" s="12">
        <v>92.0</v>
      </c>
      <c r="AA27" s="12">
        <v>26.0</v>
      </c>
      <c r="AB27" s="16">
        <v>0.28</v>
      </c>
    </row>
    <row r="28" ht="15.75" customHeight="1">
      <c r="A28" s="9">
        <v>350000.0</v>
      </c>
      <c r="B28" s="9" t="s">
        <v>31</v>
      </c>
      <c r="C28" s="9">
        <v>350691.0</v>
      </c>
      <c r="D28" s="9" t="s">
        <v>38</v>
      </c>
      <c r="E28" s="10">
        <v>44355.0</v>
      </c>
      <c r="F28" s="11" t="s">
        <v>30</v>
      </c>
      <c r="G28" s="12">
        <v>37.0</v>
      </c>
      <c r="H28" s="12">
        <v>37.0</v>
      </c>
      <c r="I28" s="13">
        <v>1.0</v>
      </c>
      <c r="J28" s="12">
        <v>37.0</v>
      </c>
      <c r="K28" s="12">
        <v>3.0</v>
      </c>
      <c r="L28" s="14">
        <v>0.08</v>
      </c>
      <c r="M28" s="12">
        <v>4.0</v>
      </c>
      <c r="N28" s="14">
        <v>0.11</v>
      </c>
      <c r="O28" s="12">
        <v>10.0</v>
      </c>
      <c r="P28" s="14">
        <v>0.27</v>
      </c>
      <c r="Q28" s="12">
        <v>18.0</v>
      </c>
      <c r="R28" s="14">
        <v>0.49</v>
      </c>
      <c r="S28" s="12">
        <v>2.0</v>
      </c>
      <c r="T28" s="14">
        <v>0.05</v>
      </c>
      <c r="U28" s="12">
        <v>0.0</v>
      </c>
      <c r="V28" s="14">
        <v>0.0</v>
      </c>
      <c r="W28" s="12">
        <v>33.0</v>
      </c>
      <c r="X28" s="12">
        <v>16.0</v>
      </c>
      <c r="Y28" s="15">
        <v>0.48</v>
      </c>
      <c r="Z28" s="12">
        <v>37.0</v>
      </c>
      <c r="AA28" s="12">
        <v>15.0</v>
      </c>
      <c r="AB28" s="16">
        <v>0.41</v>
      </c>
    </row>
    <row r="29" ht="15.75" customHeight="1">
      <c r="A29" s="9">
        <v>350000.0</v>
      </c>
      <c r="B29" s="9" t="s">
        <v>31</v>
      </c>
      <c r="C29" s="9">
        <v>350691.0</v>
      </c>
      <c r="D29" s="9" t="s">
        <v>38</v>
      </c>
      <c r="E29" s="11" t="s">
        <v>30</v>
      </c>
      <c r="F29" s="11" t="s">
        <v>30</v>
      </c>
      <c r="G29" s="12">
        <v>229.0</v>
      </c>
      <c r="H29" s="12">
        <v>228.0</v>
      </c>
      <c r="I29" s="13">
        <v>1.0</v>
      </c>
      <c r="J29" s="12">
        <v>228.0</v>
      </c>
      <c r="K29" s="12">
        <v>37.0</v>
      </c>
      <c r="L29" s="14">
        <v>0.16</v>
      </c>
      <c r="M29" s="12">
        <v>35.0</v>
      </c>
      <c r="N29" s="14">
        <v>0.15</v>
      </c>
      <c r="O29" s="12">
        <v>89.0</v>
      </c>
      <c r="P29" s="14">
        <v>0.39</v>
      </c>
      <c r="Q29" s="12">
        <v>52.0</v>
      </c>
      <c r="R29" s="14">
        <v>0.23</v>
      </c>
      <c r="S29" s="12">
        <v>14.0</v>
      </c>
      <c r="T29" s="14">
        <v>0.06</v>
      </c>
      <c r="U29" s="12">
        <v>1.0</v>
      </c>
      <c r="V29" s="14">
        <v>0.0</v>
      </c>
      <c r="W29" s="12">
        <v>176.0</v>
      </c>
      <c r="X29" s="12">
        <v>93.0</v>
      </c>
      <c r="Y29" s="15">
        <v>0.53</v>
      </c>
      <c r="Z29" s="12">
        <v>229.0</v>
      </c>
      <c r="AA29" s="12">
        <v>47.0</v>
      </c>
      <c r="AB29" s="16">
        <v>0.21</v>
      </c>
    </row>
    <row r="30" ht="15.75" customHeight="1">
      <c r="A30" s="9">
        <v>440000.0</v>
      </c>
      <c r="B30" s="9" t="s">
        <v>39</v>
      </c>
      <c r="C30" s="9">
        <v>440003.0</v>
      </c>
      <c r="D30" s="9" t="s">
        <v>40</v>
      </c>
      <c r="E30" s="11" t="s">
        <v>33</v>
      </c>
      <c r="F30" s="11" t="s">
        <v>30</v>
      </c>
      <c r="G30" s="12">
        <v>101.0</v>
      </c>
      <c r="H30" s="12">
        <v>101.0</v>
      </c>
      <c r="I30" s="13">
        <v>1.0</v>
      </c>
      <c r="J30" s="12">
        <v>101.0</v>
      </c>
      <c r="K30" s="12">
        <v>96.0</v>
      </c>
      <c r="L30" s="14">
        <v>0.95</v>
      </c>
      <c r="M30" s="12">
        <v>4.0</v>
      </c>
      <c r="N30" s="14">
        <v>0.04</v>
      </c>
      <c r="O30" s="12">
        <v>1.0</v>
      </c>
      <c r="P30" s="14">
        <v>0.01</v>
      </c>
      <c r="Q30" s="12">
        <v>0.0</v>
      </c>
      <c r="R30" s="14">
        <v>0.0</v>
      </c>
      <c r="S30" s="12">
        <v>0.0</v>
      </c>
      <c r="T30" s="14">
        <v>0.0</v>
      </c>
      <c r="U30" s="12">
        <v>0.0</v>
      </c>
      <c r="V30" s="14">
        <v>0.0</v>
      </c>
      <c r="W30" s="9"/>
      <c r="X30" s="9"/>
      <c r="Y30" s="17"/>
      <c r="Z30" s="12">
        <v>101.0</v>
      </c>
      <c r="AA30" s="12">
        <v>0.0</v>
      </c>
      <c r="AB30" s="16">
        <v>0.0</v>
      </c>
    </row>
    <row r="31" ht="15.75" customHeight="1">
      <c r="A31" s="9">
        <v>440000.0</v>
      </c>
      <c r="B31" s="9" t="s">
        <v>39</v>
      </c>
      <c r="C31" s="9">
        <v>440003.0</v>
      </c>
      <c r="D31" s="9" t="s">
        <v>40</v>
      </c>
      <c r="E31" s="10">
        <v>44198.0</v>
      </c>
      <c r="F31" s="11" t="s">
        <v>30</v>
      </c>
      <c r="G31" s="12">
        <v>150.0</v>
      </c>
      <c r="H31" s="12">
        <v>150.0</v>
      </c>
      <c r="I31" s="13">
        <v>1.0</v>
      </c>
      <c r="J31" s="12">
        <v>150.0</v>
      </c>
      <c r="K31" s="12">
        <v>35.0</v>
      </c>
      <c r="L31" s="14">
        <v>0.23</v>
      </c>
      <c r="M31" s="12">
        <v>69.0</v>
      </c>
      <c r="N31" s="14">
        <v>0.46</v>
      </c>
      <c r="O31" s="12">
        <v>42.0</v>
      </c>
      <c r="P31" s="14">
        <v>0.28</v>
      </c>
      <c r="Q31" s="12">
        <v>4.0</v>
      </c>
      <c r="R31" s="14">
        <v>0.03</v>
      </c>
      <c r="S31" s="12">
        <v>0.0</v>
      </c>
      <c r="T31" s="14">
        <v>0.0</v>
      </c>
      <c r="U31" s="12">
        <v>0.0</v>
      </c>
      <c r="V31" s="14">
        <v>0.0</v>
      </c>
      <c r="W31" s="12">
        <v>137.0</v>
      </c>
      <c r="X31" s="12">
        <v>61.0</v>
      </c>
      <c r="Y31" s="15">
        <v>0.45</v>
      </c>
      <c r="Z31" s="12">
        <v>150.0</v>
      </c>
      <c r="AA31" s="12">
        <v>3.0</v>
      </c>
      <c r="AB31" s="16">
        <v>0.02</v>
      </c>
    </row>
    <row r="32" ht="15.75" customHeight="1">
      <c r="A32" s="9">
        <v>440000.0</v>
      </c>
      <c r="B32" s="9" t="s">
        <v>39</v>
      </c>
      <c r="C32" s="9">
        <v>440003.0</v>
      </c>
      <c r="D32" s="9" t="s">
        <v>40</v>
      </c>
      <c r="E32" s="10">
        <v>44260.0</v>
      </c>
      <c r="F32" s="11" t="s">
        <v>30</v>
      </c>
      <c r="G32" s="12">
        <v>180.0</v>
      </c>
      <c r="H32" s="12">
        <v>179.0</v>
      </c>
      <c r="I32" s="13">
        <v>0.99</v>
      </c>
      <c r="J32" s="12">
        <v>179.0</v>
      </c>
      <c r="K32" s="12">
        <v>12.0</v>
      </c>
      <c r="L32" s="14">
        <v>0.07</v>
      </c>
      <c r="M32" s="12">
        <v>37.0</v>
      </c>
      <c r="N32" s="14">
        <v>0.21</v>
      </c>
      <c r="O32" s="12">
        <v>64.0</v>
      </c>
      <c r="P32" s="14">
        <v>0.36</v>
      </c>
      <c r="Q32" s="12">
        <v>59.0</v>
      </c>
      <c r="R32" s="14">
        <v>0.33</v>
      </c>
      <c r="S32" s="12">
        <v>5.0</v>
      </c>
      <c r="T32" s="14">
        <v>0.03</v>
      </c>
      <c r="U32" s="12">
        <v>2.0</v>
      </c>
      <c r="V32" s="14">
        <v>0.01</v>
      </c>
      <c r="W32" s="12">
        <v>156.0</v>
      </c>
      <c r="X32" s="12">
        <v>82.0</v>
      </c>
      <c r="Y32" s="15">
        <v>0.53</v>
      </c>
      <c r="Z32" s="12">
        <v>180.0</v>
      </c>
      <c r="AA32" s="12">
        <v>44.0</v>
      </c>
      <c r="AB32" s="16">
        <v>0.24</v>
      </c>
    </row>
    <row r="33" ht="15.75" customHeight="1">
      <c r="A33" s="9">
        <v>440000.0</v>
      </c>
      <c r="B33" s="9" t="s">
        <v>39</v>
      </c>
      <c r="C33" s="9">
        <v>440003.0</v>
      </c>
      <c r="D33" s="9" t="s">
        <v>40</v>
      </c>
      <c r="E33" s="11" t="s">
        <v>30</v>
      </c>
      <c r="F33" s="11" t="s">
        <v>30</v>
      </c>
      <c r="G33" s="12">
        <v>431.0</v>
      </c>
      <c r="H33" s="12">
        <v>430.0</v>
      </c>
      <c r="I33" s="13">
        <v>1.0</v>
      </c>
      <c r="J33" s="12">
        <v>430.0</v>
      </c>
      <c r="K33" s="12">
        <v>143.0</v>
      </c>
      <c r="L33" s="14">
        <v>0.33</v>
      </c>
      <c r="M33" s="12">
        <v>110.0</v>
      </c>
      <c r="N33" s="14">
        <v>0.26</v>
      </c>
      <c r="O33" s="12">
        <v>107.0</v>
      </c>
      <c r="P33" s="14">
        <v>0.25</v>
      </c>
      <c r="Q33" s="12">
        <v>63.0</v>
      </c>
      <c r="R33" s="14">
        <v>0.15</v>
      </c>
      <c r="S33" s="12">
        <v>5.0</v>
      </c>
      <c r="T33" s="14">
        <v>0.01</v>
      </c>
      <c r="U33" s="12">
        <v>2.0</v>
      </c>
      <c r="V33" s="14">
        <v>0.0</v>
      </c>
      <c r="W33" s="12">
        <v>293.0</v>
      </c>
      <c r="X33" s="12">
        <v>143.0</v>
      </c>
      <c r="Y33" s="15">
        <v>0.49</v>
      </c>
      <c r="Z33" s="12">
        <v>431.0</v>
      </c>
      <c r="AA33" s="12">
        <v>47.0</v>
      </c>
      <c r="AB33" s="16">
        <v>0.11</v>
      </c>
    </row>
    <row r="34" ht="15.75" customHeight="1">
      <c r="A34" s="9">
        <v>440000.0</v>
      </c>
      <c r="B34" s="9" t="s">
        <v>39</v>
      </c>
      <c r="C34" s="9">
        <v>440505.0</v>
      </c>
      <c r="D34" s="9" t="s">
        <v>41</v>
      </c>
      <c r="E34" s="10">
        <v>44451.0</v>
      </c>
      <c r="F34" s="11" t="s">
        <v>30</v>
      </c>
      <c r="G34" s="12">
        <v>944.0</v>
      </c>
      <c r="H34" s="12">
        <v>871.0</v>
      </c>
      <c r="I34" s="13">
        <v>0.92</v>
      </c>
      <c r="J34" s="12">
        <v>836.0</v>
      </c>
      <c r="K34" s="12">
        <v>73.0</v>
      </c>
      <c r="L34" s="14">
        <v>0.09</v>
      </c>
      <c r="M34" s="12">
        <v>217.0</v>
      </c>
      <c r="N34" s="14">
        <v>0.26</v>
      </c>
      <c r="O34" s="12">
        <v>366.0</v>
      </c>
      <c r="P34" s="14">
        <v>0.44</v>
      </c>
      <c r="Q34" s="12">
        <v>162.0</v>
      </c>
      <c r="R34" s="14">
        <v>0.19</v>
      </c>
      <c r="S34" s="12">
        <v>17.0</v>
      </c>
      <c r="T34" s="14">
        <v>0.02</v>
      </c>
      <c r="U34" s="12">
        <v>1.0</v>
      </c>
      <c r="V34" s="14">
        <v>0.0</v>
      </c>
      <c r="W34" s="12">
        <v>743.0</v>
      </c>
      <c r="X34" s="12">
        <v>216.0</v>
      </c>
      <c r="Y34" s="15">
        <v>0.29</v>
      </c>
      <c r="Z34" s="12">
        <v>944.0</v>
      </c>
      <c r="AA34" s="12">
        <v>131.0</v>
      </c>
      <c r="AB34" s="16">
        <v>0.14</v>
      </c>
    </row>
    <row r="35" ht="15.75" customHeight="1">
      <c r="A35" s="9">
        <v>440000.0</v>
      </c>
      <c r="B35" s="9" t="s">
        <v>39</v>
      </c>
      <c r="C35" s="9">
        <v>440505.0</v>
      </c>
      <c r="D35" s="9" t="s">
        <v>41</v>
      </c>
      <c r="E35" s="11" t="s">
        <v>30</v>
      </c>
      <c r="F35" s="11" t="s">
        <v>30</v>
      </c>
      <c r="G35" s="12">
        <v>944.0</v>
      </c>
      <c r="H35" s="12">
        <v>871.0</v>
      </c>
      <c r="I35" s="13">
        <v>0.92</v>
      </c>
      <c r="J35" s="12">
        <v>836.0</v>
      </c>
      <c r="K35" s="12">
        <v>73.0</v>
      </c>
      <c r="L35" s="14">
        <v>0.09</v>
      </c>
      <c r="M35" s="12">
        <v>217.0</v>
      </c>
      <c r="N35" s="14">
        <v>0.26</v>
      </c>
      <c r="O35" s="12">
        <v>366.0</v>
      </c>
      <c r="P35" s="14">
        <v>0.44</v>
      </c>
      <c r="Q35" s="12">
        <v>162.0</v>
      </c>
      <c r="R35" s="14">
        <v>0.19</v>
      </c>
      <c r="S35" s="12">
        <v>17.0</v>
      </c>
      <c r="T35" s="14">
        <v>0.02</v>
      </c>
      <c r="U35" s="12">
        <v>1.0</v>
      </c>
      <c r="V35" s="14">
        <v>0.0</v>
      </c>
      <c r="W35" s="12">
        <v>743.0</v>
      </c>
      <c r="X35" s="12">
        <v>216.0</v>
      </c>
      <c r="Y35" s="15">
        <v>0.29</v>
      </c>
      <c r="Z35" s="12">
        <v>944.0</v>
      </c>
      <c r="AA35" s="12">
        <v>131.0</v>
      </c>
      <c r="AB35" s="16">
        <v>0.14</v>
      </c>
    </row>
    <row r="36" ht="15.75" customHeight="1">
      <c r="A36" s="9">
        <v>490000.0</v>
      </c>
      <c r="B36" s="9" t="s">
        <v>42</v>
      </c>
      <c r="C36" s="9">
        <v>490006.0</v>
      </c>
      <c r="D36" s="9" t="s">
        <v>43</v>
      </c>
      <c r="E36" s="10">
        <v>44260.0</v>
      </c>
      <c r="F36" s="11" t="s">
        <v>30</v>
      </c>
      <c r="G36" s="12">
        <v>12.0</v>
      </c>
      <c r="H36" s="12">
        <v>12.0</v>
      </c>
      <c r="I36" s="13">
        <v>1.0</v>
      </c>
      <c r="J36" s="12">
        <v>12.0</v>
      </c>
      <c r="K36" s="12">
        <v>0.0</v>
      </c>
      <c r="L36" s="14">
        <v>0.0</v>
      </c>
      <c r="M36" s="12">
        <v>1.0</v>
      </c>
      <c r="N36" s="14">
        <v>0.08</v>
      </c>
      <c r="O36" s="12">
        <v>4.0</v>
      </c>
      <c r="P36" s="14">
        <v>0.33</v>
      </c>
      <c r="Q36" s="12">
        <v>2.0</v>
      </c>
      <c r="R36" s="14">
        <v>0.17</v>
      </c>
      <c r="S36" s="12">
        <v>5.0</v>
      </c>
      <c r="T36" s="14">
        <v>0.42</v>
      </c>
      <c r="U36" s="12">
        <v>0.0</v>
      </c>
      <c r="V36" s="14">
        <v>0.0</v>
      </c>
      <c r="W36" s="12">
        <v>7.0</v>
      </c>
      <c r="X36" s="9"/>
      <c r="Y36" s="17"/>
      <c r="Z36" s="12">
        <v>12.0</v>
      </c>
      <c r="AA36" s="12">
        <v>6.0</v>
      </c>
      <c r="AB36" s="16">
        <v>0.5</v>
      </c>
    </row>
    <row r="37" ht="15.75" customHeight="1">
      <c r="A37" s="9">
        <v>490000.0</v>
      </c>
      <c r="B37" s="9" t="s">
        <v>42</v>
      </c>
      <c r="C37" s="9">
        <v>490006.0</v>
      </c>
      <c r="D37" s="9" t="s">
        <v>43</v>
      </c>
      <c r="E37" s="11" t="s">
        <v>30</v>
      </c>
      <c r="F37" s="11" t="s">
        <v>30</v>
      </c>
      <c r="G37" s="12">
        <v>27.0</v>
      </c>
      <c r="H37" s="12">
        <v>26.0</v>
      </c>
      <c r="I37" s="13">
        <v>0.96</v>
      </c>
      <c r="J37" s="12">
        <v>26.0</v>
      </c>
      <c r="K37" s="12">
        <v>0.0</v>
      </c>
      <c r="L37" s="14">
        <v>0.0</v>
      </c>
      <c r="M37" s="12">
        <v>4.0</v>
      </c>
      <c r="N37" s="14">
        <v>0.15</v>
      </c>
      <c r="O37" s="12">
        <v>8.0</v>
      </c>
      <c r="P37" s="14">
        <v>0.31</v>
      </c>
      <c r="Q37" s="12">
        <v>7.0</v>
      </c>
      <c r="R37" s="14">
        <v>0.27</v>
      </c>
      <c r="S37" s="12">
        <v>7.0</v>
      </c>
      <c r="T37" s="14">
        <v>0.27</v>
      </c>
      <c r="U37" s="12">
        <v>0.0</v>
      </c>
      <c r="V37" s="14">
        <v>0.0</v>
      </c>
      <c r="W37" s="12">
        <v>16.0</v>
      </c>
      <c r="X37" s="12">
        <v>13.0</v>
      </c>
      <c r="Y37" s="15">
        <v>0.81</v>
      </c>
      <c r="Z37" s="12">
        <v>27.0</v>
      </c>
      <c r="AA37" s="12">
        <v>12.0</v>
      </c>
      <c r="AB37" s="16">
        <v>0.44</v>
      </c>
    </row>
    <row r="38" ht="15.75" customHeight="1">
      <c r="A38" s="9">
        <v>490000.0</v>
      </c>
      <c r="B38" s="9" t="s">
        <v>42</v>
      </c>
      <c r="C38" s="9">
        <v>490030.0</v>
      </c>
      <c r="D38" s="9" t="s">
        <v>44</v>
      </c>
      <c r="E38" s="11" t="s">
        <v>30</v>
      </c>
      <c r="F38" s="11" t="s">
        <v>30</v>
      </c>
      <c r="G38" s="12">
        <v>16.0</v>
      </c>
      <c r="H38" s="12">
        <v>16.0</v>
      </c>
      <c r="I38" s="13">
        <v>1.0</v>
      </c>
      <c r="J38" s="12">
        <v>16.0</v>
      </c>
      <c r="K38" s="12">
        <v>2.0</v>
      </c>
      <c r="L38" s="14">
        <v>0.13</v>
      </c>
      <c r="M38" s="12">
        <v>2.0</v>
      </c>
      <c r="N38" s="14">
        <v>0.13</v>
      </c>
      <c r="O38" s="12">
        <v>4.0</v>
      </c>
      <c r="P38" s="14">
        <v>0.25</v>
      </c>
      <c r="Q38" s="12">
        <v>4.0</v>
      </c>
      <c r="R38" s="14">
        <v>0.25</v>
      </c>
      <c r="S38" s="12">
        <v>2.0</v>
      </c>
      <c r="T38" s="14">
        <v>0.13</v>
      </c>
      <c r="U38" s="12">
        <v>2.0</v>
      </c>
      <c r="V38" s="14">
        <v>0.13</v>
      </c>
      <c r="W38" s="12">
        <v>5.0</v>
      </c>
      <c r="X38" s="9"/>
      <c r="Y38" s="17"/>
      <c r="Z38" s="12">
        <v>16.0</v>
      </c>
      <c r="AA38" s="12">
        <v>6.0</v>
      </c>
      <c r="AB38" s="16">
        <v>0.38</v>
      </c>
    </row>
    <row r="39" ht="15.75" customHeight="1">
      <c r="A39" s="9">
        <v>570000.0</v>
      </c>
      <c r="B39" s="9" t="s">
        <v>45</v>
      </c>
      <c r="C39" s="9">
        <v>570035.0</v>
      </c>
      <c r="D39" s="9" t="s">
        <v>46</v>
      </c>
      <c r="E39" s="10">
        <v>44198.0</v>
      </c>
      <c r="F39" s="11" t="s">
        <v>30</v>
      </c>
      <c r="G39" s="12">
        <v>109.0</v>
      </c>
      <c r="H39" s="12">
        <v>109.0</v>
      </c>
      <c r="I39" s="13">
        <v>1.0</v>
      </c>
      <c r="J39" s="12">
        <v>108.0</v>
      </c>
      <c r="K39" s="12">
        <v>5.0</v>
      </c>
      <c r="L39" s="14">
        <v>0.05</v>
      </c>
      <c r="M39" s="12">
        <v>34.0</v>
      </c>
      <c r="N39" s="14">
        <v>0.31</v>
      </c>
      <c r="O39" s="12">
        <v>56.0</v>
      </c>
      <c r="P39" s="14">
        <v>0.52</v>
      </c>
      <c r="Q39" s="12">
        <v>12.0</v>
      </c>
      <c r="R39" s="14">
        <v>0.11</v>
      </c>
      <c r="S39" s="12">
        <v>1.0</v>
      </c>
      <c r="T39" s="14">
        <v>0.01</v>
      </c>
      <c r="U39" s="12">
        <v>0.0</v>
      </c>
      <c r="V39" s="14">
        <v>0.0</v>
      </c>
      <c r="W39" s="12">
        <v>106.0</v>
      </c>
      <c r="X39" s="12">
        <v>58.0</v>
      </c>
      <c r="Y39" s="15">
        <v>0.55</v>
      </c>
      <c r="Z39" s="12">
        <v>109.0</v>
      </c>
      <c r="AA39" s="12">
        <v>9.0</v>
      </c>
      <c r="AB39" s="16">
        <v>0.08</v>
      </c>
    </row>
    <row r="40" ht="15.75" customHeight="1">
      <c r="A40" s="9">
        <v>570000.0</v>
      </c>
      <c r="B40" s="9" t="s">
        <v>45</v>
      </c>
      <c r="C40" s="9">
        <v>570035.0</v>
      </c>
      <c r="D40" s="9" t="s">
        <v>46</v>
      </c>
      <c r="E40" s="10">
        <v>44260.0</v>
      </c>
      <c r="F40" s="11" t="s">
        <v>30</v>
      </c>
      <c r="G40" s="12">
        <v>83.0</v>
      </c>
      <c r="H40" s="12">
        <v>82.0</v>
      </c>
      <c r="I40" s="13">
        <v>0.99</v>
      </c>
      <c r="J40" s="12">
        <v>82.0</v>
      </c>
      <c r="K40" s="12">
        <v>1.0</v>
      </c>
      <c r="L40" s="14">
        <v>0.01</v>
      </c>
      <c r="M40" s="12">
        <v>5.0</v>
      </c>
      <c r="N40" s="14">
        <v>0.06</v>
      </c>
      <c r="O40" s="12">
        <v>24.0</v>
      </c>
      <c r="P40" s="14">
        <v>0.29</v>
      </c>
      <c r="Q40" s="12">
        <v>41.0</v>
      </c>
      <c r="R40" s="14">
        <v>0.5</v>
      </c>
      <c r="S40" s="12">
        <v>9.0</v>
      </c>
      <c r="T40" s="14">
        <v>0.11</v>
      </c>
      <c r="U40" s="12">
        <v>2.0</v>
      </c>
      <c r="V40" s="14">
        <v>0.02</v>
      </c>
      <c r="W40" s="12">
        <v>79.0</v>
      </c>
      <c r="X40" s="12">
        <v>62.0</v>
      </c>
      <c r="Y40" s="15">
        <v>0.78</v>
      </c>
      <c r="Z40" s="12">
        <v>83.0</v>
      </c>
      <c r="AA40" s="12">
        <v>42.0</v>
      </c>
      <c r="AB40" s="16">
        <v>0.51</v>
      </c>
    </row>
    <row r="41" ht="15.75" customHeight="1">
      <c r="A41" s="9">
        <v>570000.0</v>
      </c>
      <c r="B41" s="9" t="s">
        <v>45</v>
      </c>
      <c r="C41" s="9">
        <v>570035.0</v>
      </c>
      <c r="D41" s="9" t="s">
        <v>46</v>
      </c>
      <c r="E41" s="11" t="s">
        <v>30</v>
      </c>
      <c r="F41" s="11" t="s">
        <v>30</v>
      </c>
      <c r="G41" s="12">
        <v>192.0</v>
      </c>
      <c r="H41" s="12">
        <v>191.0</v>
      </c>
      <c r="I41" s="13">
        <v>0.99</v>
      </c>
      <c r="J41" s="12">
        <v>190.0</v>
      </c>
      <c r="K41" s="12">
        <v>6.0</v>
      </c>
      <c r="L41" s="14">
        <v>0.03</v>
      </c>
      <c r="M41" s="12">
        <v>39.0</v>
      </c>
      <c r="N41" s="14">
        <v>0.21</v>
      </c>
      <c r="O41" s="12">
        <v>80.0</v>
      </c>
      <c r="P41" s="14">
        <v>0.42</v>
      </c>
      <c r="Q41" s="12">
        <v>53.0</v>
      </c>
      <c r="R41" s="14">
        <v>0.28</v>
      </c>
      <c r="S41" s="12">
        <v>10.0</v>
      </c>
      <c r="T41" s="14">
        <v>0.05</v>
      </c>
      <c r="U41" s="12">
        <v>2.0</v>
      </c>
      <c r="V41" s="14">
        <v>0.01</v>
      </c>
      <c r="W41" s="12">
        <v>185.0</v>
      </c>
      <c r="X41" s="12">
        <v>120.0</v>
      </c>
      <c r="Y41" s="15">
        <v>0.65</v>
      </c>
      <c r="Z41" s="12">
        <v>192.0</v>
      </c>
      <c r="AA41" s="12">
        <v>51.0</v>
      </c>
      <c r="AB41" s="16">
        <v>0.27</v>
      </c>
    </row>
    <row r="42" ht="15.75" customHeight="1">
      <c r="A42" s="9">
        <v>1000000.0</v>
      </c>
      <c r="B42" s="9" t="s">
        <v>47</v>
      </c>
      <c r="C42" s="9">
        <v>1000006.0</v>
      </c>
      <c r="D42" s="9" t="s">
        <v>48</v>
      </c>
      <c r="E42" s="11" t="s">
        <v>33</v>
      </c>
      <c r="F42" s="11" t="s">
        <v>30</v>
      </c>
      <c r="G42" s="12">
        <v>33.0</v>
      </c>
      <c r="H42" s="12">
        <v>33.0</v>
      </c>
      <c r="I42" s="13">
        <v>1.0</v>
      </c>
      <c r="J42" s="12">
        <v>33.0</v>
      </c>
      <c r="K42" s="12">
        <v>19.0</v>
      </c>
      <c r="L42" s="14">
        <v>0.58</v>
      </c>
      <c r="M42" s="12">
        <v>1.0</v>
      </c>
      <c r="N42" s="14">
        <v>0.03</v>
      </c>
      <c r="O42" s="12">
        <v>4.0</v>
      </c>
      <c r="P42" s="14">
        <v>0.12</v>
      </c>
      <c r="Q42" s="12">
        <v>9.0</v>
      </c>
      <c r="R42" s="14">
        <v>0.27</v>
      </c>
      <c r="S42" s="12">
        <v>0.0</v>
      </c>
      <c r="T42" s="14">
        <v>0.0</v>
      </c>
      <c r="U42" s="12">
        <v>0.0</v>
      </c>
      <c r="V42" s="14">
        <v>0.0</v>
      </c>
      <c r="W42" s="9"/>
      <c r="X42" s="9"/>
      <c r="Y42" s="17"/>
      <c r="Z42" s="12">
        <v>33.0</v>
      </c>
      <c r="AA42" s="12">
        <v>2.0</v>
      </c>
      <c r="AB42" s="16">
        <v>0.06</v>
      </c>
    </row>
    <row r="43" ht="15.75" customHeight="1">
      <c r="A43" s="9">
        <v>1000000.0</v>
      </c>
      <c r="B43" s="9" t="s">
        <v>47</v>
      </c>
      <c r="C43" s="9">
        <v>1000006.0</v>
      </c>
      <c r="D43" s="9" t="s">
        <v>48</v>
      </c>
      <c r="E43" s="10">
        <v>44198.0</v>
      </c>
      <c r="F43" s="11" t="s">
        <v>30</v>
      </c>
      <c r="G43" s="12">
        <v>55.0</v>
      </c>
      <c r="H43" s="12">
        <v>55.0</v>
      </c>
      <c r="I43" s="13">
        <v>1.0</v>
      </c>
      <c r="J43" s="12">
        <v>55.0</v>
      </c>
      <c r="K43" s="12">
        <v>13.0</v>
      </c>
      <c r="L43" s="14">
        <v>0.24</v>
      </c>
      <c r="M43" s="12">
        <v>18.0</v>
      </c>
      <c r="N43" s="14">
        <v>0.33</v>
      </c>
      <c r="O43" s="12">
        <v>19.0</v>
      </c>
      <c r="P43" s="14">
        <v>0.35</v>
      </c>
      <c r="Q43" s="12">
        <v>5.0</v>
      </c>
      <c r="R43" s="14">
        <v>0.09</v>
      </c>
      <c r="S43" s="12">
        <v>0.0</v>
      </c>
      <c r="T43" s="14">
        <v>0.0</v>
      </c>
      <c r="U43" s="12">
        <v>0.0</v>
      </c>
      <c r="V43" s="14">
        <v>0.0</v>
      </c>
      <c r="W43" s="12">
        <v>44.0</v>
      </c>
      <c r="X43" s="12">
        <v>24.0</v>
      </c>
      <c r="Y43" s="15">
        <v>0.55</v>
      </c>
      <c r="Z43" s="12">
        <v>55.0</v>
      </c>
      <c r="AA43" s="12">
        <v>2.0</v>
      </c>
      <c r="AB43" s="16">
        <v>0.04</v>
      </c>
    </row>
    <row r="44" ht="15.75" customHeight="1">
      <c r="A44" s="9">
        <v>1000000.0</v>
      </c>
      <c r="B44" s="9" t="s">
        <v>47</v>
      </c>
      <c r="C44" s="9">
        <v>1000006.0</v>
      </c>
      <c r="D44" s="9" t="s">
        <v>48</v>
      </c>
      <c r="E44" s="10">
        <v>44260.0</v>
      </c>
      <c r="F44" s="11" t="s">
        <v>30</v>
      </c>
      <c r="G44" s="12">
        <v>103.0</v>
      </c>
      <c r="H44" s="12">
        <v>103.0</v>
      </c>
      <c r="I44" s="13">
        <v>1.0</v>
      </c>
      <c r="J44" s="12">
        <v>103.0</v>
      </c>
      <c r="K44" s="12">
        <v>9.0</v>
      </c>
      <c r="L44" s="14">
        <v>0.09</v>
      </c>
      <c r="M44" s="12">
        <v>17.0</v>
      </c>
      <c r="N44" s="14">
        <v>0.17</v>
      </c>
      <c r="O44" s="12">
        <v>30.0</v>
      </c>
      <c r="P44" s="14">
        <v>0.29</v>
      </c>
      <c r="Q44" s="12">
        <v>39.0</v>
      </c>
      <c r="R44" s="14">
        <v>0.38</v>
      </c>
      <c r="S44" s="12">
        <v>8.0</v>
      </c>
      <c r="T44" s="14">
        <v>0.08</v>
      </c>
      <c r="U44" s="12">
        <v>0.0</v>
      </c>
      <c r="V44" s="14">
        <v>0.0</v>
      </c>
      <c r="W44" s="12">
        <v>88.0</v>
      </c>
      <c r="X44" s="12">
        <v>49.0</v>
      </c>
      <c r="Y44" s="15">
        <v>0.56</v>
      </c>
      <c r="Z44" s="12">
        <v>103.0</v>
      </c>
      <c r="AA44" s="12">
        <v>36.0</v>
      </c>
      <c r="AB44" s="16">
        <v>0.35</v>
      </c>
    </row>
    <row r="45" ht="15.75" customHeight="1">
      <c r="A45" s="9">
        <v>1000000.0</v>
      </c>
      <c r="B45" s="9" t="s">
        <v>47</v>
      </c>
      <c r="C45" s="9">
        <v>1000006.0</v>
      </c>
      <c r="D45" s="9" t="s">
        <v>48</v>
      </c>
      <c r="E45" s="11" t="s">
        <v>30</v>
      </c>
      <c r="F45" s="11" t="s">
        <v>30</v>
      </c>
      <c r="G45" s="12">
        <v>191.0</v>
      </c>
      <c r="H45" s="12">
        <v>191.0</v>
      </c>
      <c r="I45" s="13">
        <v>1.0</v>
      </c>
      <c r="J45" s="12">
        <v>191.0</v>
      </c>
      <c r="K45" s="12">
        <v>41.0</v>
      </c>
      <c r="L45" s="14">
        <v>0.21</v>
      </c>
      <c r="M45" s="12">
        <v>36.0</v>
      </c>
      <c r="N45" s="14">
        <v>0.19</v>
      </c>
      <c r="O45" s="12">
        <v>53.0</v>
      </c>
      <c r="P45" s="14">
        <v>0.28</v>
      </c>
      <c r="Q45" s="12">
        <v>53.0</v>
      </c>
      <c r="R45" s="14">
        <v>0.28</v>
      </c>
      <c r="S45" s="12">
        <v>8.0</v>
      </c>
      <c r="T45" s="14">
        <v>0.04</v>
      </c>
      <c r="U45" s="12">
        <v>0.0</v>
      </c>
      <c r="V45" s="14">
        <v>0.0</v>
      </c>
      <c r="W45" s="12">
        <v>132.0</v>
      </c>
      <c r="X45" s="12">
        <v>73.0</v>
      </c>
      <c r="Y45" s="15">
        <v>0.55</v>
      </c>
      <c r="Z45" s="12">
        <v>191.0</v>
      </c>
      <c r="AA45" s="12">
        <v>40.0</v>
      </c>
      <c r="AB45" s="16">
        <v>0.21</v>
      </c>
    </row>
    <row r="46" ht="15.75" customHeight="1">
      <c r="A46" s="9">
        <v>1000000.0</v>
      </c>
      <c r="B46" s="9" t="s">
        <v>47</v>
      </c>
      <c r="C46" s="9">
        <v>1000035.0</v>
      </c>
      <c r="D46" s="9" t="s">
        <v>49</v>
      </c>
      <c r="E46" s="11" t="s">
        <v>33</v>
      </c>
      <c r="F46" s="11" t="s">
        <v>30</v>
      </c>
      <c r="G46" s="12">
        <v>68.0</v>
      </c>
      <c r="H46" s="12">
        <v>68.0</v>
      </c>
      <c r="I46" s="13">
        <v>1.0</v>
      </c>
      <c r="J46" s="12">
        <v>68.0</v>
      </c>
      <c r="K46" s="12">
        <v>55.0</v>
      </c>
      <c r="L46" s="14">
        <v>0.81</v>
      </c>
      <c r="M46" s="12">
        <v>11.0</v>
      </c>
      <c r="N46" s="14">
        <v>0.16</v>
      </c>
      <c r="O46" s="12">
        <v>2.0</v>
      </c>
      <c r="P46" s="14">
        <v>0.03</v>
      </c>
      <c r="Q46" s="12">
        <v>0.0</v>
      </c>
      <c r="R46" s="14">
        <v>0.0</v>
      </c>
      <c r="S46" s="12">
        <v>0.0</v>
      </c>
      <c r="T46" s="14">
        <v>0.0</v>
      </c>
      <c r="U46" s="12">
        <v>0.0</v>
      </c>
      <c r="V46" s="14">
        <v>0.0</v>
      </c>
      <c r="W46" s="9"/>
      <c r="X46" s="9"/>
      <c r="Y46" s="17"/>
      <c r="Z46" s="12">
        <v>68.0</v>
      </c>
      <c r="AA46" s="12">
        <v>0.0</v>
      </c>
      <c r="AB46" s="16">
        <v>0.0</v>
      </c>
    </row>
    <row r="47" ht="15.75" customHeight="1">
      <c r="A47" s="9">
        <v>1000000.0</v>
      </c>
      <c r="B47" s="9" t="s">
        <v>47</v>
      </c>
      <c r="C47" s="9">
        <v>1000035.0</v>
      </c>
      <c r="D47" s="9" t="s">
        <v>49</v>
      </c>
      <c r="E47" s="10">
        <v>44198.0</v>
      </c>
      <c r="F47" s="11" t="s">
        <v>30</v>
      </c>
      <c r="G47" s="12">
        <v>114.0</v>
      </c>
      <c r="H47" s="12">
        <v>114.0</v>
      </c>
      <c r="I47" s="13">
        <v>1.0</v>
      </c>
      <c r="J47" s="12">
        <v>114.0</v>
      </c>
      <c r="K47" s="12">
        <v>16.0</v>
      </c>
      <c r="L47" s="14">
        <v>0.14</v>
      </c>
      <c r="M47" s="12">
        <v>49.0</v>
      </c>
      <c r="N47" s="14">
        <v>0.43</v>
      </c>
      <c r="O47" s="12">
        <v>42.0</v>
      </c>
      <c r="P47" s="14">
        <v>0.37</v>
      </c>
      <c r="Q47" s="12">
        <v>7.0</v>
      </c>
      <c r="R47" s="14">
        <v>0.06</v>
      </c>
      <c r="S47" s="12">
        <v>0.0</v>
      </c>
      <c r="T47" s="14">
        <v>0.0</v>
      </c>
      <c r="U47" s="12">
        <v>0.0</v>
      </c>
      <c r="V47" s="14">
        <v>0.0</v>
      </c>
      <c r="W47" s="12">
        <v>110.0</v>
      </c>
      <c r="X47" s="12">
        <v>58.0</v>
      </c>
      <c r="Y47" s="15">
        <v>0.53</v>
      </c>
      <c r="Z47" s="12">
        <v>114.0</v>
      </c>
      <c r="AA47" s="12">
        <v>3.0</v>
      </c>
      <c r="AB47" s="16">
        <v>0.03</v>
      </c>
    </row>
    <row r="48" ht="15.75" customHeight="1">
      <c r="A48" s="9">
        <v>1000000.0</v>
      </c>
      <c r="B48" s="9" t="s">
        <v>47</v>
      </c>
      <c r="C48" s="9">
        <v>1000035.0</v>
      </c>
      <c r="D48" s="9" t="s">
        <v>49</v>
      </c>
      <c r="E48" s="10">
        <v>44260.0</v>
      </c>
      <c r="F48" s="11" t="s">
        <v>30</v>
      </c>
      <c r="G48" s="12">
        <v>118.0</v>
      </c>
      <c r="H48" s="12">
        <v>118.0</v>
      </c>
      <c r="I48" s="13">
        <v>1.0</v>
      </c>
      <c r="J48" s="12">
        <v>115.0</v>
      </c>
      <c r="K48" s="12">
        <v>2.0</v>
      </c>
      <c r="L48" s="14">
        <v>0.02</v>
      </c>
      <c r="M48" s="12">
        <v>12.0</v>
      </c>
      <c r="N48" s="14">
        <v>0.1</v>
      </c>
      <c r="O48" s="12">
        <v>39.0</v>
      </c>
      <c r="P48" s="14">
        <v>0.34</v>
      </c>
      <c r="Q48" s="12">
        <v>49.0</v>
      </c>
      <c r="R48" s="14">
        <v>0.43</v>
      </c>
      <c r="S48" s="12">
        <v>12.0</v>
      </c>
      <c r="T48" s="14">
        <v>0.1</v>
      </c>
      <c r="U48" s="12">
        <v>1.0</v>
      </c>
      <c r="V48" s="14">
        <v>0.01</v>
      </c>
      <c r="W48" s="12">
        <v>117.0</v>
      </c>
      <c r="X48" s="12">
        <v>84.0</v>
      </c>
      <c r="Y48" s="15">
        <v>0.72</v>
      </c>
      <c r="Z48" s="12">
        <v>118.0</v>
      </c>
      <c r="AA48" s="12">
        <v>48.0</v>
      </c>
      <c r="AB48" s="16">
        <v>0.41</v>
      </c>
    </row>
    <row r="49" ht="15.75" customHeight="1">
      <c r="A49" s="9">
        <v>1000000.0</v>
      </c>
      <c r="B49" s="9" t="s">
        <v>47</v>
      </c>
      <c r="C49" s="9">
        <v>1000035.0</v>
      </c>
      <c r="D49" s="9" t="s">
        <v>49</v>
      </c>
      <c r="E49" s="11" t="s">
        <v>30</v>
      </c>
      <c r="F49" s="11" t="s">
        <v>30</v>
      </c>
      <c r="G49" s="12">
        <v>300.0</v>
      </c>
      <c r="H49" s="12">
        <v>300.0</v>
      </c>
      <c r="I49" s="13">
        <v>1.0</v>
      </c>
      <c r="J49" s="12">
        <v>297.0</v>
      </c>
      <c r="K49" s="12">
        <v>73.0</v>
      </c>
      <c r="L49" s="14">
        <v>0.25</v>
      </c>
      <c r="M49" s="12">
        <v>72.0</v>
      </c>
      <c r="N49" s="14">
        <v>0.24</v>
      </c>
      <c r="O49" s="12">
        <v>83.0</v>
      </c>
      <c r="P49" s="14">
        <v>0.28</v>
      </c>
      <c r="Q49" s="12">
        <v>56.0</v>
      </c>
      <c r="R49" s="14">
        <v>0.19</v>
      </c>
      <c r="S49" s="12">
        <v>12.0</v>
      </c>
      <c r="T49" s="14">
        <v>0.04</v>
      </c>
      <c r="U49" s="12">
        <v>1.0</v>
      </c>
      <c r="V49" s="14">
        <v>0.0</v>
      </c>
      <c r="W49" s="12">
        <v>227.0</v>
      </c>
      <c r="X49" s="12">
        <v>142.0</v>
      </c>
      <c r="Y49" s="15">
        <v>0.63</v>
      </c>
      <c r="Z49" s="12">
        <v>300.0</v>
      </c>
      <c r="AA49" s="12">
        <v>51.0</v>
      </c>
      <c r="AB49" s="16">
        <v>0.17</v>
      </c>
    </row>
    <row r="50" ht="15.75" customHeight="1">
      <c r="A50" s="9">
        <v>1000000.0</v>
      </c>
      <c r="B50" s="9" t="s">
        <v>47</v>
      </c>
      <c r="C50" s="9">
        <v>1000039.0</v>
      </c>
      <c r="D50" s="9" t="s">
        <v>50</v>
      </c>
      <c r="E50" s="11" t="s">
        <v>33</v>
      </c>
      <c r="F50" s="11" t="s">
        <v>30</v>
      </c>
      <c r="G50" s="12">
        <v>33.0</v>
      </c>
      <c r="H50" s="12">
        <v>33.0</v>
      </c>
      <c r="I50" s="13">
        <v>1.0</v>
      </c>
      <c r="J50" s="12">
        <v>33.0</v>
      </c>
      <c r="K50" s="12">
        <v>17.0</v>
      </c>
      <c r="L50" s="14">
        <v>0.52</v>
      </c>
      <c r="M50" s="12">
        <v>11.0</v>
      </c>
      <c r="N50" s="14">
        <v>0.33</v>
      </c>
      <c r="O50" s="12">
        <v>2.0</v>
      </c>
      <c r="P50" s="14">
        <v>0.06</v>
      </c>
      <c r="Q50" s="12">
        <v>3.0</v>
      </c>
      <c r="R50" s="14">
        <v>0.09</v>
      </c>
      <c r="S50" s="12">
        <v>0.0</v>
      </c>
      <c r="T50" s="14">
        <v>0.0</v>
      </c>
      <c r="U50" s="12">
        <v>0.0</v>
      </c>
      <c r="V50" s="14">
        <v>0.0</v>
      </c>
      <c r="W50" s="9"/>
      <c r="X50" s="9"/>
      <c r="Y50" s="17"/>
      <c r="Z50" s="12">
        <v>33.0</v>
      </c>
      <c r="AA50" s="12">
        <v>0.0</v>
      </c>
      <c r="AB50" s="16">
        <v>0.0</v>
      </c>
    </row>
    <row r="51" ht="15.75" customHeight="1">
      <c r="A51" s="9">
        <v>1000000.0</v>
      </c>
      <c r="B51" s="9" t="s">
        <v>47</v>
      </c>
      <c r="C51" s="9">
        <v>1000039.0</v>
      </c>
      <c r="D51" s="9" t="s">
        <v>50</v>
      </c>
      <c r="E51" s="10">
        <v>44198.0</v>
      </c>
      <c r="F51" s="11" t="s">
        <v>30</v>
      </c>
      <c r="G51" s="12">
        <v>66.0</v>
      </c>
      <c r="H51" s="12">
        <v>66.0</v>
      </c>
      <c r="I51" s="13">
        <v>1.0</v>
      </c>
      <c r="J51" s="12">
        <v>66.0</v>
      </c>
      <c r="K51" s="12">
        <v>19.0</v>
      </c>
      <c r="L51" s="14">
        <v>0.29</v>
      </c>
      <c r="M51" s="12">
        <v>21.0</v>
      </c>
      <c r="N51" s="14">
        <v>0.32</v>
      </c>
      <c r="O51" s="12">
        <v>18.0</v>
      </c>
      <c r="P51" s="14">
        <v>0.27</v>
      </c>
      <c r="Q51" s="12">
        <v>8.0</v>
      </c>
      <c r="R51" s="14">
        <v>0.12</v>
      </c>
      <c r="S51" s="12">
        <v>0.0</v>
      </c>
      <c r="T51" s="14">
        <v>0.0</v>
      </c>
      <c r="U51" s="12">
        <v>0.0</v>
      </c>
      <c r="V51" s="14">
        <v>0.0</v>
      </c>
      <c r="W51" s="12">
        <v>49.0</v>
      </c>
      <c r="X51" s="12">
        <v>27.0</v>
      </c>
      <c r="Y51" s="15">
        <v>0.55</v>
      </c>
      <c r="Z51" s="12">
        <v>66.0</v>
      </c>
      <c r="AA51" s="12">
        <v>5.0</v>
      </c>
      <c r="AB51" s="16">
        <v>0.08</v>
      </c>
    </row>
    <row r="52" ht="15.75" customHeight="1">
      <c r="A52" s="9">
        <v>1000000.0</v>
      </c>
      <c r="B52" s="9" t="s">
        <v>47</v>
      </c>
      <c r="C52" s="9">
        <v>1000039.0</v>
      </c>
      <c r="D52" s="9" t="s">
        <v>50</v>
      </c>
      <c r="E52" s="10">
        <v>44260.0</v>
      </c>
      <c r="F52" s="11" t="s">
        <v>30</v>
      </c>
      <c r="G52" s="12">
        <v>50.0</v>
      </c>
      <c r="H52" s="12">
        <v>50.0</v>
      </c>
      <c r="I52" s="13">
        <v>1.0</v>
      </c>
      <c r="J52" s="12">
        <v>50.0</v>
      </c>
      <c r="K52" s="12">
        <v>1.0</v>
      </c>
      <c r="L52" s="14">
        <v>0.02</v>
      </c>
      <c r="M52" s="12">
        <v>3.0</v>
      </c>
      <c r="N52" s="14">
        <v>0.06</v>
      </c>
      <c r="O52" s="12">
        <v>24.0</v>
      </c>
      <c r="P52" s="14">
        <v>0.48</v>
      </c>
      <c r="Q52" s="12">
        <v>15.0</v>
      </c>
      <c r="R52" s="14">
        <v>0.3</v>
      </c>
      <c r="S52" s="12">
        <v>6.0</v>
      </c>
      <c r="T52" s="14">
        <v>0.12</v>
      </c>
      <c r="U52" s="12">
        <v>1.0</v>
      </c>
      <c r="V52" s="14">
        <v>0.02</v>
      </c>
      <c r="W52" s="12">
        <v>45.0</v>
      </c>
      <c r="X52" s="12">
        <v>28.0</v>
      </c>
      <c r="Y52" s="15">
        <v>0.62</v>
      </c>
      <c r="Z52" s="12">
        <v>50.0</v>
      </c>
      <c r="AA52" s="12">
        <v>16.0</v>
      </c>
      <c r="AB52" s="16">
        <v>0.32</v>
      </c>
    </row>
    <row r="53" ht="15.75" customHeight="1">
      <c r="A53" s="9">
        <v>1000000.0</v>
      </c>
      <c r="B53" s="9" t="s">
        <v>47</v>
      </c>
      <c r="C53" s="9">
        <v>1000039.0</v>
      </c>
      <c r="D53" s="9" t="s">
        <v>50</v>
      </c>
      <c r="E53" s="11" t="s">
        <v>30</v>
      </c>
      <c r="F53" s="11" t="s">
        <v>30</v>
      </c>
      <c r="G53" s="12">
        <v>149.0</v>
      </c>
      <c r="H53" s="12">
        <v>149.0</v>
      </c>
      <c r="I53" s="13">
        <v>1.0</v>
      </c>
      <c r="J53" s="12">
        <v>149.0</v>
      </c>
      <c r="K53" s="12">
        <v>37.0</v>
      </c>
      <c r="L53" s="14">
        <v>0.25</v>
      </c>
      <c r="M53" s="12">
        <v>35.0</v>
      </c>
      <c r="N53" s="14">
        <v>0.23</v>
      </c>
      <c r="O53" s="12">
        <v>44.0</v>
      </c>
      <c r="P53" s="14">
        <v>0.3</v>
      </c>
      <c r="Q53" s="12">
        <v>26.0</v>
      </c>
      <c r="R53" s="14">
        <v>0.17</v>
      </c>
      <c r="S53" s="12">
        <v>6.0</v>
      </c>
      <c r="T53" s="14">
        <v>0.04</v>
      </c>
      <c r="U53" s="12">
        <v>1.0</v>
      </c>
      <c r="V53" s="14">
        <v>0.01</v>
      </c>
      <c r="W53" s="12">
        <v>94.0</v>
      </c>
      <c r="X53" s="12">
        <v>55.0</v>
      </c>
      <c r="Y53" s="15">
        <v>0.59</v>
      </c>
      <c r="Z53" s="12">
        <v>149.0</v>
      </c>
      <c r="AA53" s="12">
        <v>21.0</v>
      </c>
      <c r="AB53" s="16">
        <v>0.14</v>
      </c>
    </row>
    <row r="54" ht="15.75" customHeight="1">
      <c r="A54" s="9">
        <v>1000000.0</v>
      </c>
      <c r="B54" s="9" t="s">
        <v>47</v>
      </c>
      <c r="C54" s="9">
        <v>1000055.0</v>
      </c>
      <c r="D54" s="9" t="s">
        <v>51</v>
      </c>
      <c r="E54" s="11" t="s">
        <v>33</v>
      </c>
      <c r="F54" s="11" t="s">
        <v>30</v>
      </c>
      <c r="G54" s="12">
        <v>59.0</v>
      </c>
      <c r="H54" s="12">
        <v>59.0</v>
      </c>
      <c r="I54" s="13">
        <v>1.0</v>
      </c>
      <c r="J54" s="12">
        <v>59.0</v>
      </c>
      <c r="K54" s="12">
        <v>40.0</v>
      </c>
      <c r="L54" s="14">
        <v>0.68</v>
      </c>
      <c r="M54" s="12">
        <v>7.0</v>
      </c>
      <c r="N54" s="14">
        <v>0.12</v>
      </c>
      <c r="O54" s="12">
        <v>7.0</v>
      </c>
      <c r="P54" s="14">
        <v>0.12</v>
      </c>
      <c r="Q54" s="12">
        <v>5.0</v>
      </c>
      <c r="R54" s="14">
        <v>0.08</v>
      </c>
      <c r="S54" s="12">
        <v>0.0</v>
      </c>
      <c r="T54" s="14">
        <v>0.0</v>
      </c>
      <c r="U54" s="12">
        <v>0.0</v>
      </c>
      <c r="V54" s="14">
        <v>0.0</v>
      </c>
      <c r="W54" s="9"/>
      <c r="X54" s="9"/>
      <c r="Y54" s="17"/>
      <c r="Z54" s="12">
        <v>59.0</v>
      </c>
      <c r="AA54" s="12">
        <v>2.0</v>
      </c>
      <c r="AB54" s="16">
        <v>0.03</v>
      </c>
    </row>
    <row r="55" ht="15.75" customHeight="1">
      <c r="A55" s="9">
        <v>1000000.0</v>
      </c>
      <c r="B55" s="9" t="s">
        <v>47</v>
      </c>
      <c r="C55" s="9">
        <v>1000055.0</v>
      </c>
      <c r="D55" s="9" t="s">
        <v>51</v>
      </c>
      <c r="E55" s="10">
        <v>44198.0</v>
      </c>
      <c r="F55" s="11" t="s">
        <v>30</v>
      </c>
      <c r="G55" s="12">
        <v>109.0</v>
      </c>
      <c r="H55" s="12">
        <v>109.0</v>
      </c>
      <c r="I55" s="13">
        <v>1.0</v>
      </c>
      <c r="J55" s="12">
        <v>109.0</v>
      </c>
      <c r="K55" s="12">
        <v>41.0</v>
      </c>
      <c r="L55" s="14">
        <v>0.38</v>
      </c>
      <c r="M55" s="12">
        <v>34.0</v>
      </c>
      <c r="N55" s="14">
        <v>0.31</v>
      </c>
      <c r="O55" s="12">
        <v>31.0</v>
      </c>
      <c r="P55" s="14">
        <v>0.28</v>
      </c>
      <c r="Q55" s="12">
        <v>3.0</v>
      </c>
      <c r="R55" s="14">
        <v>0.03</v>
      </c>
      <c r="S55" s="12">
        <v>0.0</v>
      </c>
      <c r="T55" s="14">
        <v>0.0</v>
      </c>
      <c r="U55" s="12">
        <v>0.0</v>
      </c>
      <c r="V55" s="14">
        <v>0.0</v>
      </c>
      <c r="W55" s="12">
        <v>76.0</v>
      </c>
      <c r="X55" s="12">
        <v>30.0</v>
      </c>
      <c r="Y55" s="15">
        <v>0.39</v>
      </c>
      <c r="Z55" s="12">
        <v>109.0</v>
      </c>
      <c r="AA55" s="12">
        <v>1.0</v>
      </c>
      <c r="AB55" s="16">
        <v>0.01</v>
      </c>
    </row>
    <row r="56" ht="15.75" customHeight="1">
      <c r="A56" s="9">
        <v>1000000.0</v>
      </c>
      <c r="B56" s="9" t="s">
        <v>47</v>
      </c>
      <c r="C56" s="9">
        <v>1000055.0</v>
      </c>
      <c r="D56" s="9" t="s">
        <v>51</v>
      </c>
      <c r="E56" s="10">
        <v>44260.0</v>
      </c>
      <c r="F56" s="11" t="s">
        <v>30</v>
      </c>
      <c r="G56" s="12">
        <v>171.0</v>
      </c>
      <c r="H56" s="12">
        <v>171.0</v>
      </c>
      <c r="I56" s="13">
        <v>1.0</v>
      </c>
      <c r="J56" s="12">
        <v>171.0</v>
      </c>
      <c r="K56" s="12">
        <v>45.0</v>
      </c>
      <c r="L56" s="14">
        <v>0.26</v>
      </c>
      <c r="M56" s="12">
        <v>26.0</v>
      </c>
      <c r="N56" s="14">
        <v>0.15</v>
      </c>
      <c r="O56" s="12">
        <v>55.0</v>
      </c>
      <c r="P56" s="14">
        <v>0.32</v>
      </c>
      <c r="Q56" s="12">
        <v>44.0</v>
      </c>
      <c r="R56" s="14">
        <v>0.26</v>
      </c>
      <c r="S56" s="12">
        <v>1.0</v>
      </c>
      <c r="T56" s="14">
        <v>0.01</v>
      </c>
      <c r="U56" s="12">
        <v>0.0</v>
      </c>
      <c r="V56" s="14">
        <v>0.0</v>
      </c>
      <c r="W56" s="12">
        <v>113.0</v>
      </c>
      <c r="X56" s="12">
        <v>60.0</v>
      </c>
      <c r="Y56" s="15">
        <v>0.53</v>
      </c>
      <c r="Z56" s="12">
        <v>171.0</v>
      </c>
      <c r="AA56" s="12">
        <v>29.0</v>
      </c>
      <c r="AB56" s="16">
        <v>0.17</v>
      </c>
    </row>
    <row r="57" ht="15.75" customHeight="1">
      <c r="A57" s="9">
        <v>1000000.0</v>
      </c>
      <c r="B57" s="9" t="s">
        <v>47</v>
      </c>
      <c r="C57" s="9">
        <v>1000055.0</v>
      </c>
      <c r="D57" s="9" t="s">
        <v>51</v>
      </c>
      <c r="E57" s="11" t="s">
        <v>30</v>
      </c>
      <c r="F57" s="11" t="s">
        <v>30</v>
      </c>
      <c r="G57" s="12">
        <v>339.0</v>
      </c>
      <c r="H57" s="12">
        <v>339.0</v>
      </c>
      <c r="I57" s="13">
        <v>1.0</v>
      </c>
      <c r="J57" s="12">
        <v>339.0</v>
      </c>
      <c r="K57" s="12">
        <v>126.0</v>
      </c>
      <c r="L57" s="14">
        <v>0.37</v>
      </c>
      <c r="M57" s="12">
        <v>67.0</v>
      </c>
      <c r="N57" s="14">
        <v>0.2</v>
      </c>
      <c r="O57" s="12">
        <v>93.0</v>
      </c>
      <c r="P57" s="14">
        <v>0.27</v>
      </c>
      <c r="Q57" s="12">
        <v>52.0</v>
      </c>
      <c r="R57" s="14">
        <v>0.15</v>
      </c>
      <c r="S57" s="12">
        <v>1.0</v>
      </c>
      <c r="T57" s="14">
        <v>0.0</v>
      </c>
      <c r="U57" s="12">
        <v>0.0</v>
      </c>
      <c r="V57" s="14">
        <v>0.0</v>
      </c>
      <c r="W57" s="12">
        <v>189.0</v>
      </c>
      <c r="X57" s="12">
        <v>90.0</v>
      </c>
      <c r="Y57" s="15">
        <v>0.48</v>
      </c>
      <c r="Z57" s="12">
        <v>339.0</v>
      </c>
      <c r="AA57" s="12">
        <v>32.0</v>
      </c>
      <c r="AB57" s="16">
        <v>0.09</v>
      </c>
    </row>
    <row r="58" ht="15.75" customHeight="1">
      <c r="A58" s="9">
        <v>1000000.0</v>
      </c>
      <c r="B58" s="9" t="s">
        <v>47</v>
      </c>
      <c r="C58" s="9">
        <v>1000305.0</v>
      </c>
      <c r="D58" s="9" t="s">
        <v>52</v>
      </c>
      <c r="E58" s="10">
        <v>44355.0</v>
      </c>
      <c r="F58" s="11" t="s">
        <v>30</v>
      </c>
      <c r="G58" s="12">
        <v>187.0</v>
      </c>
      <c r="H58" s="12">
        <v>187.0</v>
      </c>
      <c r="I58" s="13">
        <v>1.0</v>
      </c>
      <c r="J58" s="12">
        <v>186.0</v>
      </c>
      <c r="K58" s="12">
        <v>53.0</v>
      </c>
      <c r="L58" s="14">
        <v>0.28</v>
      </c>
      <c r="M58" s="12">
        <v>44.0</v>
      </c>
      <c r="N58" s="14">
        <v>0.24</v>
      </c>
      <c r="O58" s="12">
        <v>54.0</v>
      </c>
      <c r="P58" s="14">
        <v>0.29</v>
      </c>
      <c r="Q58" s="12">
        <v>27.0</v>
      </c>
      <c r="R58" s="14">
        <v>0.15</v>
      </c>
      <c r="S58" s="12">
        <v>7.0</v>
      </c>
      <c r="T58" s="14">
        <v>0.04</v>
      </c>
      <c r="U58" s="12">
        <v>1.0</v>
      </c>
      <c r="V58" s="14">
        <v>0.01</v>
      </c>
      <c r="W58" s="12">
        <v>122.0</v>
      </c>
      <c r="X58" s="12">
        <v>68.0</v>
      </c>
      <c r="Y58" s="15">
        <v>0.56</v>
      </c>
      <c r="Z58" s="12">
        <v>187.0</v>
      </c>
      <c r="AA58" s="12">
        <v>26.0</v>
      </c>
      <c r="AB58" s="16">
        <v>0.14</v>
      </c>
    </row>
    <row r="59" ht="15.75" customHeight="1">
      <c r="A59" s="9">
        <v>1000000.0</v>
      </c>
      <c r="B59" s="9" t="s">
        <v>47</v>
      </c>
      <c r="C59" s="9">
        <v>1000305.0</v>
      </c>
      <c r="D59" s="9" t="s">
        <v>52</v>
      </c>
      <c r="E59" s="11" t="s">
        <v>30</v>
      </c>
      <c r="F59" s="11" t="s">
        <v>30</v>
      </c>
      <c r="G59" s="12">
        <v>187.0</v>
      </c>
      <c r="H59" s="12">
        <v>187.0</v>
      </c>
      <c r="I59" s="13">
        <v>1.0</v>
      </c>
      <c r="J59" s="12">
        <v>186.0</v>
      </c>
      <c r="K59" s="12">
        <v>53.0</v>
      </c>
      <c r="L59" s="14">
        <v>0.28</v>
      </c>
      <c r="M59" s="12">
        <v>44.0</v>
      </c>
      <c r="N59" s="14">
        <v>0.24</v>
      </c>
      <c r="O59" s="12">
        <v>54.0</v>
      </c>
      <c r="P59" s="14">
        <v>0.29</v>
      </c>
      <c r="Q59" s="12">
        <v>27.0</v>
      </c>
      <c r="R59" s="14">
        <v>0.15</v>
      </c>
      <c r="S59" s="12">
        <v>7.0</v>
      </c>
      <c r="T59" s="14">
        <v>0.04</v>
      </c>
      <c r="U59" s="12">
        <v>1.0</v>
      </c>
      <c r="V59" s="14">
        <v>0.01</v>
      </c>
      <c r="W59" s="12">
        <v>122.0</v>
      </c>
      <c r="X59" s="12">
        <v>68.0</v>
      </c>
      <c r="Y59" s="15">
        <v>0.56</v>
      </c>
      <c r="Z59" s="12">
        <v>187.0</v>
      </c>
      <c r="AA59" s="12">
        <v>26.0</v>
      </c>
      <c r="AB59" s="16">
        <v>0.14</v>
      </c>
    </row>
    <row r="60" ht="15.75" customHeight="1">
      <c r="A60" s="9">
        <v>1000000.0</v>
      </c>
      <c r="B60" s="9" t="s">
        <v>47</v>
      </c>
      <c r="C60" s="9">
        <v>1000310.0</v>
      </c>
      <c r="D60" s="9" t="s">
        <v>53</v>
      </c>
      <c r="E60" s="10">
        <v>44355.0</v>
      </c>
      <c r="F60" s="11" t="s">
        <v>30</v>
      </c>
      <c r="G60" s="12">
        <v>49.0</v>
      </c>
      <c r="H60" s="12">
        <v>49.0</v>
      </c>
      <c r="I60" s="13">
        <v>1.0</v>
      </c>
      <c r="J60" s="12">
        <v>49.0</v>
      </c>
      <c r="K60" s="12">
        <v>0.0</v>
      </c>
      <c r="L60" s="14">
        <v>0.0</v>
      </c>
      <c r="M60" s="12">
        <v>3.0</v>
      </c>
      <c r="N60" s="14">
        <v>0.06</v>
      </c>
      <c r="O60" s="12">
        <v>21.0</v>
      </c>
      <c r="P60" s="14">
        <v>0.43</v>
      </c>
      <c r="Q60" s="12">
        <v>21.0</v>
      </c>
      <c r="R60" s="14">
        <v>0.43</v>
      </c>
      <c r="S60" s="12">
        <v>3.0</v>
      </c>
      <c r="T60" s="14">
        <v>0.06</v>
      </c>
      <c r="U60" s="12">
        <v>1.0</v>
      </c>
      <c r="V60" s="14">
        <v>0.02</v>
      </c>
      <c r="W60" s="12">
        <v>44.0</v>
      </c>
      <c r="X60" s="12">
        <v>21.0</v>
      </c>
      <c r="Y60" s="15">
        <v>0.48</v>
      </c>
      <c r="Z60" s="12">
        <v>49.0</v>
      </c>
      <c r="AA60" s="12">
        <v>21.0</v>
      </c>
      <c r="AB60" s="16">
        <v>0.43</v>
      </c>
    </row>
    <row r="61" ht="15.75" customHeight="1">
      <c r="A61" s="9">
        <v>1000000.0</v>
      </c>
      <c r="B61" s="9" t="s">
        <v>47</v>
      </c>
      <c r="C61" s="9">
        <v>1000310.0</v>
      </c>
      <c r="D61" s="9" t="s">
        <v>53</v>
      </c>
      <c r="E61" s="11" t="s">
        <v>30</v>
      </c>
      <c r="F61" s="11" t="s">
        <v>30</v>
      </c>
      <c r="G61" s="12">
        <v>49.0</v>
      </c>
      <c r="H61" s="12">
        <v>49.0</v>
      </c>
      <c r="I61" s="13">
        <v>1.0</v>
      </c>
      <c r="J61" s="12">
        <v>49.0</v>
      </c>
      <c r="K61" s="12">
        <v>0.0</v>
      </c>
      <c r="L61" s="14">
        <v>0.0</v>
      </c>
      <c r="M61" s="12">
        <v>3.0</v>
      </c>
      <c r="N61" s="14">
        <v>0.06</v>
      </c>
      <c r="O61" s="12">
        <v>21.0</v>
      </c>
      <c r="P61" s="14">
        <v>0.43</v>
      </c>
      <c r="Q61" s="12">
        <v>21.0</v>
      </c>
      <c r="R61" s="14">
        <v>0.43</v>
      </c>
      <c r="S61" s="12">
        <v>3.0</v>
      </c>
      <c r="T61" s="14">
        <v>0.06</v>
      </c>
      <c r="U61" s="12">
        <v>1.0</v>
      </c>
      <c r="V61" s="14">
        <v>0.02</v>
      </c>
      <c r="W61" s="12">
        <v>44.0</v>
      </c>
      <c r="X61" s="12">
        <v>21.0</v>
      </c>
      <c r="Y61" s="15">
        <v>0.48</v>
      </c>
      <c r="Z61" s="12">
        <v>49.0</v>
      </c>
      <c r="AA61" s="12">
        <v>21.0</v>
      </c>
      <c r="AB61" s="16">
        <v>0.43</v>
      </c>
    </row>
    <row r="62" ht="15.75" customHeight="1">
      <c r="A62" s="9">
        <v>1000000.0</v>
      </c>
      <c r="B62" s="9" t="s">
        <v>47</v>
      </c>
      <c r="C62" s="9">
        <v>1000515.0</v>
      </c>
      <c r="D62" s="9" t="s">
        <v>54</v>
      </c>
      <c r="E62" s="10">
        <v>44451.0</v>
      </c>
      <c r="F62" s="11" t="s">
        <v>30</v>
      </c>
      <c r="G62" s="12">
        <v>304.0</v>
      </c>
      <c r="H62" s="12">
        <v>297.0</v>
      </c>
      <c r="I62" s="13">
        <v>0.98</v>
      </c>
      <c r="J62" s="12">
        <v>294.0</v>
      </c>
      <c r="K62" s="12">
        <v>72.0</v>
      </c>
      <c r="L62" s="14">
        <v>0.24</v>
      </c>
      <c r="M62" s="12">
        <v>64.0</v>
      </c>
      <c r="N62" s="14">
        <v>0.22</v>
      </c>
      <c r="O62" s="12">
        <v>101.0</v>
      </c>
      <c r="P62" s="14">
        <v>0.34</v>
      </c>
      <c r="Q62" s="12">
        <v>41.0</v>
      </c>
      <c r="R62" s="14">
        <v>0.14</v>
      </c>
      <c r="S62" s="12">
        <v>15.0</v>
      </c>
      <c r="T62" s="14">
        <v>0.05</v>
      </c>
      <c r="U62" s="12">
        <v>1.0</v>
      </c>
      <c r="V62" s="14">
        <v>0.0</v>
      </c>
      <c r="W62" s="12">
        <v>178.0</v>
      </c>
      <c r="X62" s="12">
        <v>67.0</v>
      </c>
      <c r="Y62" s="15">
        <v>0.38</v>
      </c>
      <c r="Z62" s="12">
        <v>304.0</v>
      </c>
      <c r="AA62" s="12">
        <v>48.0</v>
      </c>
      <c r="AB62" s="16">
        <v>0.16</v>
      </c>
    </row>
    <row r="63" ht="15.75" customHeight="1">
      <c r="A63" s="9">
        <v>1000000.0</v>
      </c>
      <c r="B63" s="9" t="s">
        <v>47</v>
      </c>
      <c r="C63" s="9">
        <v>1000515.0</v>
      </c>
      <c r="D63" s="9" t="s">
        <v>54</v>
      </c>
      <c r="E63" s="11" t="s">
        <v>30</v>
      </c>
      <c r="F63" s="11" t="s">
        <v>30</v>
      </c>
      <c r="G63" s="12">
        <v>304.0</v>
      </c>
      <c r="H63" s="12">
        <v>297.0</v>
      </c>
      <c r="I63" s="13">
        <v>0.98</v>
      </c>
      <c r="J63" s="12">
        <v>294.0</v>
      </c>
      <c r="K63" s="12">
        <v>72.0</v>
      </c>
      <c r="L63" s="14">
        <v>0.24</v>
      </c>
      <c r="M63" s="12">
        <v>64.0</v>
      </c>
      <c r="N63" s="14">
        <v>0.22</v>
      </c>
      <c r="O63" s="12">
        <v>101.0</v>
      </c>
      <c r="P63" s="14">
        <v>0.34</v>
      </c>
      <c r="Q63" s="12">
        <v>41.0</v>
      </c>
      <c r="R63" s="14">
        <v>0.14</v>
      </c>
      <c r="S63" s="12">
        <v>15.0</v>
      </c>
      <c r="T63" s="14">
        <v>0.05</v>
      </c>
      <c r="U63" s="12">
        <v>1.0</v>
      </c>
      <c r="V63" s="14">
        <v>0.0</v>
      </c>
      <c r="W63" s="12">
        <v>178.0</v>
      </c>
      <c r="X63" s="12">
        <v>67.0</v>
      </c>
      <c r="Y63" s="15">
        <v>0.38</v>
      </c>
      <c r="Z63" s="12">
        <v>304.0</v>
      </c>
      <c r="AA63" s="12">
        <v>48.0</v>
      </c>
      <c r="AB63" s="16">
        <v>0.16</v>
      </c>
    </row>
    <row r="64" ht="15.75" customHeight="1">
      <c r="A64" s="9">
        <v>1360000.0</v>
      </c>
      <c r="B64" s="9" t="s">
        <v>55</v>
      </c>
      <c r="C64" s="9">
        <v>1360007.0</v>
      </c>
      <c r="D64" s="9" t="s">
        <v>56</v>
      </c>
      <c r="E64" s="10">
        <v>44260.0</v>
      </c>
      <c r="F64" s="11" t="s">
        <v>30</v>
      </c>
      <c r="G64" s="12">
        <v>16.0</v>
      </c>
      <c r="H64" s="12">
        <v>16.0</v>
      </c>
      <c r="I64" s="13">
        <v>1.0</v>
      </c>
      <c r="J64" s="12">
        <v>16.0</v>
      </c>
      <c r="K64" s="12">
        <v>0.0</v>
      </c>
      <c r="L64" s="14">
        <v>0.0</v>
      </c>
      <c r="M64" s="12">
        <v>2.0</v>
      </c>
      <c r="N64" s="14">
        <v>0.13</v>
      </c>
      <c r="O64" s="12">
        <v>4.0</v>
      </c>
      <c r="P64" s="14">
        <v>0.25</v>
      </c>
      <c r="Q64" s="12">
        <v>6.0</v>
      </c>
      <c r="R64" s="14">
        <v>0.38</v>
      </c>
      <c r="S64" s="12">
        <v>4.0</v>
      </c>
      <c r="T64" s="14">
        <v>0.25</v>
      </c>
      <c r="U64" s="12">
        <v>0.0</v>
      </c>
      <c r="V64" s="14">
        <v>0.0</v>
      </c>
      <c r="W64" s="12">
        <v>14.0</v>
      </c>
      <c r="X64" s="12">
        <v>9.0</v>
      </c>
      <c r="Y64" s="15">
        <v>0.64</v>
      </c>
      <c r="Z64" s="12">
        <v>16.0</v>
      </c>
      <c r="AA64" s="12">
        <v>7.0</v>
      </c>
      <c r="AB64" s="16">
        <v>0.44</v>
      </c>
    </row>
    <row r="65" ht="15.75" customHeight="1">
      <c r="A65" s="9">
        <v>1360000.0</v>
      </c>
      <c r="B65" s="9" t="s">
        <v>55</v>
      </c>
      <c r="C65" s="9">
        <v>1360007.0</v>
      </c>
      <c r="D65" s="9" t="s">
        <v>56</v>
      </c>
      <c r="E65" s="11" t="s">
        <v>30</v>
      </c>
      <c r="F65" s="11" t="s">
        <v>30</v>
      </c>
      <c r="G65" s="12">
        <v>16.0</v>
      </c>
      <c r="H65" s="12">
        <v>16.0</v>
      </c>
      <c r="I65" s="13">
        <v>1.0</v>
      </c>
      <c r="J65" s="12">
        <v>16.0</v>
      </c>
      <c r="K65" s="12">
        <v>0.0</v>
      </c>
      <c r="L65" s="14">
        <v>0.0</v>
      </c>
      <c r="M65" s="12">
        <v>2.0</v>
      </c>
      <c r="N65" s="14">
        <v>0.13</v>
      </c>
      <c r="O65" s="12">
        <v>4.0</v>
      </c>
      <c r="P65" s="14">
        <v>0.25</v>
      </c>
      <c r="Q65" s="12">
        <v>6.0</v>
      </c>
      <c r="R65" s="14">
        <v>0.38</v>
      </c>
      <c r="S65" s="12">
        <v>4.0</v>
      </c>
      <c r="T65" s="14">
        <v>0.25</v>
      </c>
      <c r="U65" s="12">
        <v>0.0</v>
      </c>
      <c r="V65" s="14">
        <v>0.0</v>
      </c>
      <c r="W65" s="12">
        <v>14.0</v>
      </c>
      <c r="X65" s="12">
        <v>9.0</v>
      </c>
      <c r="Y65" s="15">
        <v>0.64</v>
      </c>
      <c r="Z65" s="12">
        <v>16.0</v>
      </c>
      <c r="AA65" s="12">
        <v>7.0</v>
      </c>
      <c r="AB65" s="16">
        <v>0.44</v>
      </c>
    </row>
    <row r="66" ht="15.75" customHeight="1">
      <c r="A66" s="9">
        <v>1360000.0</v>
      </c>
      <c r="B66" s="9" t="s">
        <v>55</v>
      </c>
      <c r="C66" s="9">
        <v>1360010.0</v>
      </c>
      <c r="D66" s="9" t="s">
        <v>57</v>
      </c>
      <c r="E66" s="11" t="s">
        <v>33</v>
      </c>
      <c r="F66" s="11" t="s">
        <v>30</v>
      </c>
      <c r="G66" s="12">
        <v>10.0</v>
      </c>
      <c r="H66" s="12">
        <v>10.0</v>
      </c>
      <c r="I66" s="13">
        <v>1.0</v>
      </c>
      <c r="J66" s="12">
        <v>10.0</v>
      </c>
      <c r="K66" s="12">
        <v>4.0</v>
      </c>
      <c r="L66" s="14">
        <v>0.4</v>
      </c>
      <c r="M66" s="12">
        <v>3.0</v>
      </c>
      <c r="N66" s="14">
        <v>0.3</v>
      </c>
      <c r="O66" s="12">
        <v>1.0</v>
      </c>
      <c r="P66" s="14">
        <v>0.1</v>
      </c>
      <c r="Q66" s="12">
        <v>2.0</v>
      </c>
      <c r="R66" s="14">
        <v>0.2</v>
      </c>
      <c r="S66" s="12">
        <v>0.0</v>
      </c>
      <c r="T66" s="14">
        <v>0.0</v>
      </c>
      <c r="U66" s="12">
        <v>0.0</v>
      </c>
      <c r="V66" s="14">
        <v>0.0</v>
      </c>
      <c r="W66" s="9"/>
      <c r="X66" s="9"/>
      <c r="Y66" s="17"/>
      <c r="Z66" s="12">
        <v>10.0</v>
      </c>
      <c r="AA66" s="12">
        <v>0.0</v>
      </c>
      <c r="AB66" s="16">
        <v>0.0</v>
      </c>
    </row>
    <row r="67" ht="15.75" customHeight="1">
      <c r="A67" s="9">
        <v>1360000.0</v>
      </c>
      <c r="B67" s="9" t="s">
        <v>55</v>
      </c>
      <c r="C67" s="9">
        <v>1360010.0</v>
      </c>
      <c r="D67" s="9" t="s">
        <v>57</v>
      </c>
      <c r="E67" s="10">
        <v>44198.0</v>
      </c>
      <c r="F67" s="11" t="s">
        <v>30</v>
      </c>
      <c r="G67" s="12">
        <v>19.0</v>
      </c>
      <c r="H67" s="12">
        <v>19.0</v>
      </c>
      <c r="I67" s="13">
        <v>1.0</v>
      </c>
      <c r="J67" s="12">
        <v>19.0</v>
      </c>
      <c r="K67" s="12">
        <v>0.0</v>
      </c>
      <c r="L67" s="14">
        <v>0.0</v>
      </c>
      <c r="M67" s="12">
        <v>5.0</v>
      </c>
      <c r="N67" s="14">
        <v>0.26</v>
      </c>
      <c r="O67" s="12">
        <v>9.0</v>
      </c>
      <c r="P67" s="14">
        <v>0.47</v>
      </c>
      <c r="Q67" s="12">
        <v>5.0</v>
      </c>
      <c r="R67" s="14">
        <v>0.26</v>
      </c>
      <c r="S67" s="12">
        <v>0.0</v>
      </c>
      <c r="T67" s="14">
        <v>0.0</v>
      </c>
      <c r="U67" s="12">
        <v>0.0</v>
      </c>
      <c r="V67" s="14">
        <v>0.0</v>
      </c>
      <c r="W67" s="12">
        <v>19.0</v>
      </c>
      <c r="X67" s="12">
        <v>12.0</v>
      </c>
      <c r="Y67" s="15">
        <v>0.63</v>
      </c>
      <c r="Z67" s="12">
        <v>19.0</v>
      </c>
      <c r="AA67" s="12">
        <v>4.0</v>
      </c>
      <c r="AB67" s="16">
        <v>0.21</v>
      </c>
    </row>
    <row r="68" ht="15.75" customHeight="1">
      <c r="A68" s="9">
        <v>1360000.0</v>
      </c>
      <c r="B68" s="9" t="s">
        <v>55</v>
      </c>
      <c r="C68" s="9">
        <v>1360010.0</v>
      </c>
      <c r="D68" s="9" t="s">
        <v>57</v>
      </c>
      <c r="E68" s="11" t="s">
        <v>30</v>
      </c>
      <c r="F68" s="11" t="s">
        <v>30</v>
      </c>
      <c r="G68" s="12">
        <v>29.0</v>
      </c>
      <c r="H68" s="12">
        <v>29.0</v>
      </c>
      <c r="I68" s="13">
        <v>1.0</v>
      </c>
      <c r="J68" s="12">
        <v>29.0</v>
      </c>
      <c r="K68" s="12">
        <v>4.0</v>
      </c>
      <c r="L68" s="14">
        <v>0.14</v>
      </c>
      <c r="M68" s="12">
        <v>8.0</v>
      </c>
      <c r="N68" s="14">
        <v>0.28</v>
      </c>
      <c r="O68" s="12">
        <v>10.0</v>
      </c>
      <c r="P68" s="14">
        <v>0.34</v>
      </c>
      <c r="Q68" s="12">
        <v>7.0</v>
      </c>
      <c r="R68" s="14">
        <v>0.24</v>
      </c>
      <c r="S68" s="12">
        <v>0.0</v>
      </c>
      <c r="T68" s="14">
        <v>0.0</v>
      </c>
      <c r="U68" s="12">
        <v>0.0</v>
      </c>
      <c r="V68" s="14">
        <v>0.0</v>
      </c>
      <c r="W68" s="12">
        <v>19.0</v>
      </c>
      <c r="X68" s="12">
        <v>12.0</v>
      </c>
      <c r="Y68" s="15">
        <v>0.63</v>
      </c>
      <c r="Z68" s="12">
        <v>29.0</v>
      </c>
      <c r="AA68" s="12">
        <v>4.0</v>
      </c>
      <c r="AB68" s="16">
        <v>0.14</v>
      </c>
    </row>
    <row r="69" ht="15.75" customHeight="1">
      <c r="A69" s="9">
        <v>1360000.0</v>
      </c>
      <c r="B69" s="9" t="s">
        <v>55</v>
      </c>
      <c r="C69" s="9">
        <v>1360305.0</v>
      </c>
      <c r="D69" s="9" t="s">
        <v>58</v>
      </c>
      <c r="E69" s="10">
        <v>44355.0</v>
      </c>
      <c r="F69" s="11" t="s">
        <v>30</v>
      </c>
      <c r="G69" s="12">
        <v>13.0</v>
      </c>
      <c r="H69" s="12">
        <v>13.0</v>
      </c>
      <c r="I69" s="13">
        <v>1.0</v>
      </c>
      <c r="J69" s="12">
        <v>13.0</v>
      </c>
      <c r="K69" s="12">
        <v>0.0</v>
      </c>
      <c r="L69" s="14">
        <v>0.0</v>
      </c>
      <c r="M69" s="12">
        <v>1.0</v>
      </c>
      <c r="N69" s="14">
        <v>0.08</v>
      </c>
      <c r="O69" s="12">
        <v>3.0</v>
      </c>
      <c r="P69" s="14">
        <v>0.23</v>
      </c>
      <c r="Q69" s="12">
        <v>5.0</v>
      </c>
      <c r="R69" s="14">
        <v>0.38</v>
      </c>
      <c r="S69" s="12">
        <v>4.0</v>
      </c>
      <c r="T69" s="14">
        <v>0.31</v>
      </c>
      <c r="U69" s="12">
        <v>0.0</v>
      </c>
      <c r="V69" s="14">
        <v>0.0</v>
      </c>
      <c r="W69" s="12">
        <v>10.0</v>
      </c>
      <c r="X69" s="12">
        <v>5.0</v>
      </c>
      <c r="Y69" s="15">
        <v>0.5</v>
      </c>
      <c r="Z69" s="12">
        <v>13.0</v>
      </c>
      <c r="AA69" s="12">
        <v>8.0</v>
      </c>
      <c r="AB69" s="16">
        <v>0.62</v>
      </c>
    </row>
    <row r="70" ht="15.75" customHeight="1">
      <c r="A70" s="9">
        <v>1360000.0</v>
      </c>
      <c r="B70" s="9" t="s">
        <v>55</v>
      </c>
      <c r="C70" s="9">
        <v>1360305.0</v>
      </c>
      <c r="D70" s="9" t="s">
        <v>58</v>
      </c>
      <c r="E70" s="11" t="s">
        <v>30</v>
      </c>
      <c r="F70" s="11" t="s">
        <v>30</v>
      </c>
      <c r="G70" s="12">
        <v>13.0</v>
      </c>
      <c r="H70" s="12">
        <v>13.0</v>
      </c>
      <c r="I70" s="13">
        <v>1.0</v>
      </c>
      <c r="J70" s="12">
        <v>13.0</v>
      </c>
      <c r="K70" s="12">
        <v>0.0</v>
      </c>
      <c r="L70" s="14">
        <v>0.0</v>
      </c>
      <c r="M70" s="12">
        <v>1.0</v>
      </c>
      <c r="N70" s="14">
        <v>0.08</v>
      </c>
      <c r="O70" s="12">
        <v>3.0</v>
      </c>
      <c r="P70" s="14">
        <v>0.23</v>
      </c>
      <c r="Q70" s="12">
        <v>5.0</v>
      </c>
      <c r="R70" s="14">
        <v>0.38</v>
      </c>
      <c r="S70" s="12">
        <v>4.0</v>
      </c>
      <c r="T70" s="14">
        <v>0.31</v>
      </c>
      <c r="U70" s="12">
        <v>0.0</v>
      </c>
      <c r="V70" s="14">
        <v>0.0</v>
      </c>
      <c r="W70" s="12">
        <v>10.0</v>
      </c>
      <c r="X70" s="12">
        <v>5.0</v>
      </c>
      <c r="Y70" s="15">
        <v>0.5</v>
      </c>
      <c r="Z70" s="12">
        <v>13.0</v>
      </c>
      <c r="AA70" s="12">
        <v>8.0</v>
      </c>
      <c r="AB70" s="16">
        <v>0.62</v>
      </c>
    </row>
    <row r="71" ht="15.75" customHeight="1">
      <c r="A71" s="9">
        <v>1370000.0</v>
      </c>
      <c r="B71" s="9" t="s">
        <v>59</v>
      </c>
      <c r="C71" s="9">
        <v>1370003.0</v>
      </c>
      <c r="D71" s="9" t="s">
        <v>60</v>
      </c>
      <c r="E71" s="10">
        <v>44260.0</v>
      </c>
      <c r="F71" s="11" t="s">
        <v>30</v>
      </c>
      <c r="G71" s="12">
        <v>11.0</v>
      </c>
      <c r="H71" s="12">
        <v>10.0</v>
      </c>
      <c r="I71" s="13">
        <v>0.91</v>
      </c>
      <c r="J71" s="12">
        <v>10.0</v>
      </c>
      <c r="K71" s="12">
        <v>1.0</v>
      </c>
      <c r="L71" s="14">
        <v>0.1</v>
      </c>
      <c r="M71" s="12">
        <v>0.0</v>
      </c>
      <c r="N71" s="14">
        <v>0.0</v>
      </c>
      <c r="O71" s="12">
        <v>3.0</v>
      </c>
      <c r="P71" s="14">
        <v>0.3</v>
      </c>
      <c r="Q71" s="12">
        <v>5.0</v>
      </c>
      <c r="R71" s="14">
        <v>0.5</v>
      </c>
      <c r="S71" s="12">
        <v>1.0</v>
      </c>
      <c r="T71" s="14">
        <v>0.1</v>
      </c>
      <c r="U71" s="12">
        <v>0.0</v>
      </c>
      <c r="V71" s="14">
        <v>0.0</v>
      </c>
      <c r="W71" s="12">
        <v>10.0</v>
      </c>
      <c r="X71" s="12">
        <v>8.0</v>
      </c>
      <c r="Y71" s="15">
        <v>0.8</v>
      </c>
      <c r="Z71" s="12">
        <v>11.0</v>
      </c>
      <c r="AA71" s="12">
        <v>3.0</v>
      </c>
      <c r="AB71" s="16">
        <v>0.27</v>
      </c>
    </row>
    <row r="72" ht="15.75" customHeight="1">
      <c r="A72" s="9">
        <v>1370000.0</v>
      </c>
      <c r="B72" s="9" t="s">
        <v>59</v>
      </c>
      <c r="C72" s="9">
        <v>1370003.0</v>
      </c>
      <c r="D72" s="9" t="s">
        <v>60</v>
      </c>
      <c r="E72" s="11" t="s">
        <v>30</v>
      </c>
      <c r="F72" s="11" t="s">
        <v>30</v>
      </c>
      <c r="G72" s="12">
        <v>23.0</v>
      </c>
      <c r="H72" s="12">
        <v>22.0</v>
      </c>
      <c r="I72" s="13">
        <v>0.96</v>
      </c>
      <c r="J72" s="12">
        <v>22.0</v>
      </c>
      <c r="K72" s="12">
        <v>5.0</v>
      </c>
      <c r="L72" s="14">
        <v>0.23</v>
      </c>
      <c r="M72" s="12">
        <v>4.0</v>
      </c>
      <c r="N72" s="14">
        <v>0.18</v>
      </c>
      <c r="O72" s="12">
        <v>6.0</v>
      </c>
      <c r="P72" s="14">
        <v>0.27</v>
      </c>
      <c r="Q72" s="12">
        <v>6.0</v>
      </c>
      <c r="R72" s="14">
        <v>0.27</v>
      </c>
      <c r="S72" s="12">
        <v>1.0</v>
      </c>
      <c r="T72" s="14">
        <v>0.05</v>
      </c>
      <c r="U72" s="12">
        <v>0.0</v>
      </c>
      <c r="V72" s="14">
        <v>0.0</v>
      </c>
      <c r="W72" s="12">
        <v>17.0</v>
      </c>
      <c r="X72" s="12">
        <v>13.0</v>
      </c>
      <c r="Y72" s="15">
        <v>0.76</v>
      </c>
      <c r="Z72" s="12">
        <v>23.0</v>
      </c>
      <c r="AA72" s="12">
        <v>4.0</v>
      </c>
      <c r="AB72" s="16">
        <v>0.17</v>
      </c>
    </row>
    <row r="73" ht="15.75" customHeight="1">
      <c r="A73" s="9">
        <v>1370000.0</v>
      </c>
      <c r="B73" s="9" t="s">
        <v>59</v>
      </c>
      <c r="C73" s="9">
        <v>1370045.0</v>
      </c>
      <c r="D73" s="9" t="s">
        <v>61</v>
      </c>
      <c r="E73" s="10">
        <v>44198.0</v>
      </c>
      <c r="F73" s="11" t="s">
        <v>30</v>
      </c>
      <c r="G73" s="12">
        <v>14.0</v>
      </c>
      <c r="H73" s="12">
        <v>14.0</v>
      </c>
      <c r="I73" s="13">
        <v>1.0</v>
      </c>
      <c r="J73" s="12">
        <v>14.0</v>
      </c>
      <c r="K73" s="12">
        <v>0.0</v>
      </c>
      <c r="L73" s="14">
        <v>0.0</v>
      </c>
      <c r="M73" s="12">
        <v>8.0</v>
      </c>
      <c r="N73" s="14">
        <v>0.57</v>
      </c>
      <c r="O73" s="12">
        <v>6.0</v>
      </c>
      <c r="P73" s="14">
        <v>0.43</v>
      </c>
      <c r="Q73" s="12">
        <v>0.0</v>
      </c>
      <c r="R73" s="14">
        <v>0.0</v>
      </c>
      <c r="S73" s="12">
        <v>0.0</v>
      </c>
      <c r="T73" s="14">
        <v>0.0</v>
      </c>
      <c r="U73" s="12">
        <v>0.0</v>
      </c>
      <c r="V73" s="14">
        <v>0.0</v>
      </c>
      <c r="W73" s="12">
        <v>11.0</v>
      </c>
      <c r="X73" s="12">
        <v>4.0</v>
      </c>
      <c r="Y73" s="15">
        <v>0.36</v>
      </c>
      <c r="Z73" s="12">
        <v>14.0</v>
      </c>
      <c r="AA73" s="12">
        <v>0.0</v>
      </c>
      <c r="AB73" s="16">
        <v>0.0</v>
      </c>
    </row>
    <row r="74" ht="15.75" customHeight="1">
      <c r="A74" s="9">
        <v>1370000.0</v>
      </c>
      <c r="B74" s="9" t="s">
        <v>59</v>
      </c>
      <c r="C74" s="9">
        <v>1370045.0</v>
      </c>
      <c r="D74" s="9" t="s">
        <v>61</v>
      </c>
      <c r="E74" s="10">
        <v>44260.0</v>
      </c>
      <c r="F74" s="11" t="s">
        <v>30</v>
      </c>
      <c r="G74" s="12">
        <v>33.0</v>
      </c>
      <c r="H74" s="12">
        <v>33.0</v>
      </c>
      <c r="I74" s="13">
        <v>1.0</v>
      </c>
      <c r="J74" s="12">
        <v>33.0</v>
      </c>
      <c r="K74" s="12">
        <v>1.0</v>
      </c>
      <c r="L74" s="14">
        <v>0.03</v>
      </c>
      <c r="M74" s="12">
        <v>5.0</v>
      </c>
      <c r="N74" s="14">
        <v>0.15</v>
      </c>
      <c r="O74" s="12">
        <v>16.0</v>
      </c>
      <c r="P74" s="14">
        <v>0.48</v>
      </c>
      <c r="Q74" s="12">
        <v>10.0</v>
      </c>
      <c r="R74" s="14">
        <v>0.3</v>
      </c>
      <c r="S74" s="12">
        <v>1.0</v>
      </c>
      <c r="T74" s="14">
        <v>0.03</v>
      </c>
      <c r="U74" s="12">
        <v>0.0</v>
      </c>
      <c r="V74" s="14">
        <v>0.0</v>
      </c>
      <c r="W74" s="12">
        <v>33.0</v>
      </c>
      <c r="X74" s="12">
        <v>16.0</v>
      </c>
      <c r="Y74" s="15">
        <v>0.48</v>
      </c>
      <c r="Z74" s="12">
        <v>33.0</v>
      </c>
      <c r="AA74" s="12">
        <v>6.0</v>
      </c>
      <c r="AB74" s="16">
        <v>0.18</v>
      </c>
    </row>
    <row r="75" ht="15.75" customHeight="1">
      <c r="A75" s="9">
        <v>1370000.0</v>
      </c>
      <c r="B75" s="9" t="s">
        <v>59</v>
      </c>
      <c r="C75" s="9">
        <v>1370045.0</v>
      </c>
      <c r="D75" s="9" t="s">
        <v>61</v>
      </c>
      <c r="E75" s="11" t="s">
        <v>30</v>
      </c>
      <c r="F75" s="11" t="s">
        <v>30</v>
      </c>
      <c r="G75" s="12">
        <v>49.0</v>
      </c>
      <c r="H75" s="12">
        <v>49.0</v>
      </c>
      <c r="I75" s="13">
        <v>1.0</v>
      </c>
      <c r="J75" s="12">
        <v>49.0</v>
      </c>
      <c r="K75" s="12">
        <v>3.0</v>
      </c>
      <c r="L75" s="14">
        <v>0.06</v>
      </c>
      <c r="M75" s="12">
        <v>13.0</v>
      </c>
      <c r="N75" s="14">
        <v>0.27</v>
      </c>
      <c r="O75" s="12">
        <v>22.0</v>
      </c>
      <c r="P75" s="14">
        <v>0.45</v>
      </c>
      <c r="Q75" s="12">
        <v>10.0</v>
      </c>
      <c r="R75" s="14">
        <v>0.2</v>
      </c>
      <c r="S75" s="12">
        <v>1.0</v>
      </c>
      <c r="T75" s="14">
        <v>0.02</v>
      </c>
      <c r="U75" s="12">
        <v>0.0</v>
      </c>
      <c r="V75" s="14">
        <v>0.0</v>
      </c>
      <c r="W75" s="12">
        <v>44.0</v>
      </c>
      <c r="X75" s="12">
        <v>20.0</v>
      </c>
      <c r="Y75" s="15">
        <v>0.45</v>
      </c>
      <c r="Z75" s="12">
        <v>49.0</v>
      </c>
      <c r="AA75" s="12">
        <v>6.0</v>
      </c>
      <c r="AB75" s="16">
        <v>0.12</v>
      </c>
    </row>
    <row r="76" ht="15.75" customHeight="1">
      <c r="A76" s="9">
        <v>1740000.0</v>
      </c>
      <c r="B76" s="9" t="s">
        <v>62</v>
      </c>
      <c r="C76" s="9">
        <v>1740010.0</v>
      </c>
      <c r="D76" s="9" t="s">
        <v>63</v>
      </c>
      <c r="E76" s="10">
        <v>44198.0</v>
      </c>
      <c r="F76" s="11" t="s">
        <v>30</v>
      </c>
      <c r="G76" s="12">
        <v>14.0</v>
      </c>
      <c r="H76" s="12">
        <v>14.0</v>
      </c>
      <c r="I76" s="13">
        <v>1.0</v>
      </c>
      <c r="J76" s="12">
        <v>14.0</v>
      </c>
      <c r="K76" s="12">
        <v>0.0</v>
      </c>
      <c r="L76" s="14">
        <v>0.0</v>
      </c>
      <c r="M76" s="12">
        <v>3.0</v>
      </c>
      <c r="N76" s="14">
        <v>0.21</v>
      </c>
      <c r="O76" s="12">
        <v>6.0</v>
      </c>
      <c r="P76" s="14">
        <v>0.43</v>
      </c>
      <c r="Q76" s="12">
        <v>4.0</v>
      </c>
      <c r="R76" s="14">
        <v>0.29</v>
      </c>
      <c r="S76" s="12">
        <v>1.0</v>
      </c>
      <c r="T76" s="14">
        <v>0.07</v>
      </c>
      <c r="U76" s="12">
        <v>0.0</v>
      </c>
      <c r="V76" s="14">
        <v>0.0</v>
      </c>
      <c r="W76" s="12">
        <v>13.0</v>
      </c>
      <c r="X76" s="12">
        <v>9.0</v>
      </c>
      <c r="Y76" s="15">
        <v>0.69</v>
      </c>
      <c r="Z76" s="12">
        <v>14.0</v>
      </c>
      <c r="AA76" s="12">
        <v>4.0</v>
      </c>
      <c r="AB76" s="16">
        <v>0.29</v>
      </c>
    </row>
    <row r="77" ht="15.75" customHeight="1">
      <c r="A77" s="9">
        <v>1740000.0</v>
      </c>
      <c r="B77" s="9" t="s">
        <v>62</v>
      </c>
      <c r="C77" s="9">
        <v>1740010.0</v>
      </c>
      <c r="D77" s="9" t="s">
        <v>63</v>
      </c>
      <c r="E77" s="11" t="s">
        <v>30</v>
      </c>
      <c r="F77" s="11" t="s">
        <v>30</v>
      </c>
      <c r="G77" s="12">
        <v>28.0</v>
      </c>
      <c r="H77" s="12">
        <v>28.0</v>
      </c>
      <c r="I77" s="13">
        <v>1.0</v>
      </c>
      <c r="J77" s="12">
        <v>28.0</v>
      </c>
      <c r="K77" s="12">
        <v>8.0</v>
      </c>
      <c r="L77" s="14">
        <v>0.29</v>
      </c>
      <c r="M77" s="12">
        <v>3.0</v>
      </c>
      <c r="N77" s="14">
        <v>0.11</v>
      </c>
      <c r="O77" s="12">
        <v>8.0</v>
      </c>
      <c r="P77" s="14">
        <v>0.29</v>
      </c>
      <c r="Q77" s="12">
        <v>7.0</v>
      </c>
      <c r="R77" s="14">
        <v>0.25</v>
      </c>
      <c r="S77" s="12">
        <v>2.0</v>
      </c>
      <c r="T77" s="14">
        <v>0.07</v>
      </c>
      <c r="U77" s="12">
        <v>0.0</v>
      </c>
      <c r="V77" s="14">
        <v>0.0</v>
      </c>
      <c r="W77" s="12">
        <v>18.0</v>
      </c>
      <c r="X77" s="12">
        <v>14.0</v>
      </c>
      <c r="Y77" s="15">
        <v>0.78</v>
      </c>
      <c r="Z77" s="12">
        <v>28.0</v>
      </c>
      <c r="AA77" s="12">
        <v>7.0</v>
      </c>
      <c r="AB77" s="16">
        <v>0.25</v>
      </c>
    </row>
    <row r="78" ht="15.75" customHeight="1">
      <c r="A78" s="9">
        <v>1740000.0</v>
      </c>
      <c r="B78" s="9" t="s">
        <v>62</v>
      </c>
      <c r="C78" s="9">
        <v>1740305.0</v>
      </c>
      <c r="D78" s="9" t="s">
        <v>64</v>
      </c>
      <c r="E78" s="11" t="s">
        <v>30</v>
      </c>
      <c r="F78" s="11" t="s">
        <v>30</v>
      </c>
      <c r="G78" s="12">
        <v>15.0</v>
      </c>
      <c r="H78" s="12">
        <v>15.0</v>
      </c>
      <c r="I78" s="13">
        <v>1.0</v>
      </c>
      <c r="J78" s="12">
        <v>15.0</v>
      </c>
      <c r="K78" s="12">
        <v>1.0</v>
      </c>
      <c r="L78" s="14">
        <v>0.07</v>
      </c>
      <c r="M78" s="12">
        <v>2.0</v>
      </c>
      <c r="N78" s="14">
        <v>0.13</v>
      </c>
      <c r="O78" s="12">
        <v>5.0</v>
      </c>
      <c r="P78" s="14">
        <v>0.33</v>
      </c>
      <c r="Q78" s="12">
        <v>6.0</v>
      </c>
      <c r="R78" s="14">
        <v>0.4</v>
      </c>
      <c r="S78" s="12">
        <v>1.0</v>
      </c>
      <c r="T78" s="14">
        <v>0.07</v>
      </c>
      <c r="U78" s="12">
        <v>0.0</v>
      </c>
      <c r="V78" s="14">
        <v>0.0</v>
      </c>
      <c r="W78" s="12">
        <v>12.0</v>
      </c>
      <c r="X78" s="12">
        <v>8.0</v>
      </c>
      <c r="Y78" s="15">
        <v>0.67</v>
      </c>
      <c r="Z78" s="12">
        <v>15.0</v>
      </c>
      <c r="AA78" s="12">
        <v>5.0</v>
      </c>
      <c r="AB78" s="16">
        <v>0.33</v>
      </c>
    </row>
    <row r="79" ht="15.75" customHeight="1">
      <c r="A79" s="9">
        <v>1870000.0</v>
      </c>
      <c r="B79" s="9" t="s">
        <v>65</v>
      </c>
      <c r="C79" s="9">
        <v>1870005.0</v>
      </c>
      <c r="D79" s="9" t="s">
        <v>66</v>
      </c>
      <c r="E79" s="11" t="s">
        <v>30</v>
      </c>
      <c r="F79" s="11" t="s">
        <v>30</v>
      </c>
      <c r="G79" s="12">
        <v>10.0</v>
      </c>
      <c r="H79" s="12">
        <v>10.0</v>
      </c>
      <c r="I79" s="13">
        <v>1.0</v>
      </c>
      <c r="J79" s="12">
        <v>10.0</v>
      </c>
      <c r="K79" s="12">
        <v>1.0</v>
      </c>
      <c r="L79" s="14">
        <v>0.1</v>
      </c>
      <c r="M79" s="12">
        <v>2.0</v>
      </c>
      <c r="N79" s="14">
        <v>0.2</v>
      </c>
      <c r="O79" s="12">
        <v>4.0</v>
      </c>
      <c r="P79" s="14">
        <v>0.4</v>
      </c>
      <c r="Q79" s="12">
        <v>3.0</v>
      </c>
      <c r="R79" s="14">
        <v>0.3</v>
      </c>
      <c r="S79" s="12">
        <v>0.0</v>
      </c>
      <c r="T79" s="14">
        <v>0.0</v>
      </c>
      <c r="U79" s="12">
        <v>0.0</v>
      </c>
      <c r="V79" s="14">
        <v>0.0</v>
      </c>
      <c r="W79" s="12">
        <v>8.0</v>
      </c>
      <c r="X79" s="9"/>
      <c r="Y79" s="17"/>
      <c r="Z79" s="12">
        <v>10.0</v>
      </c>
      <c r="AA79" s="12">
        <v>1.0</v>
      </c>
      <c r="AB79" s="16">
        <v>0.1</v>
      </c>
    </row>
    <row r="80" ht="15.75" customHeight="1">
      <c r="A80" s="9">
        <v>1890000.0</v>
      </c>
      <c r="B80" s="9" t="s">
        <v>67</v>
      </c>
      <c r="C80" s="9">
        <v>1890007.0</v>
      </c>
      <c r="D80" s="9" t="s">
        <v>68</v>
      </c>
      <c r="E80" s="11" t="s">
        <v>30</v>
      </c>
      <c r="F80" s="11" t="s">
        <v>30</v>
      </c>
      <c r="G80" s="12">
        <v>14.0</v>
      </c>
      <c r="H80" s="12">
        <v>14.0</v>
      </c>
      <c r="I80" s="13">
        <v>1.0</v>
      </c>
      <c r="J80" s="12">
        <v>14.0</v>
      </c>
      <c r="K80" s="12">
        <v>0.0</v>
      </c>
      <c r="L80" s="14">
        <v>0.0</v>
      </c>
      <c r="M80" s="12">
        <v>3.0</v>
      </c>
      <c r="N80" s="14">
        <v>0.21</v>
      </c>
      <c r="O80" s="12">
        <v>6.0</v>
      </c>
      <c r="P80" s="14">
        <v>0.43</v>
      </c>
      <c r="Q80" s="12">
        <v>5.0</v>
      </c>
      <c r="R80" s="14">
        <v>0.36</v>
      </c>
      <c r="S80" s="12">
        <v>0.0</v>
      </c>
      <c r="T80" s="14">
        <v>0.0</v>
      </c>
      <c r="U80" s="12">
        <v>0.0</v>
      </c>
      <c r="V80" s="14">
        <v>0.0</v>
      </c>
      <c r="W80" s="12">
        <v>12.0</v>
      </c>
      <c r="X80" s="12">
        <v>7.0</v>
      </c>
      <c r="Y80" s="15">
        <v>0.58</v>
      </c>
      <c r="Z80" s="12">
        <v>14.0</v>
      </c>
      <c r="AA80" s="12">
        <v>4.0</v>
      </c>
      <c r="AB80" s="16">
        <v>0.29</v>
      </c>
    </row>
    <row r="81" ht="15.75" customHeight="1">
      <c r="A81" s="9">
        <v>1890000.0</v>
      </c>
      <c r="B81" s="9" t="s">
        <v>67</v>
      </c>
      <c r="C81" s="9">
        <v>1890020.0</v>
      </c>
      <c r="D81" s="9" t="s">
        <v>69</v>
      </c>
      <c r="E81" s="11" t="s">
        <v>30</v>
      </c>
      <c r="F81" s="11" t="s">
        <v>30</v>
      </c>
      <c r="G81" s="12">
        <v>16.0</v>
      </c>
      <c r="H81" s="12">
        <v>16.0</v>
      </c>
      <c r="I81" s="13">
        <v>1.0</v>
      </c>
      <c r="J81" s="12">
        <v>16.0</v>
      </c>
      <c r="K81" s="12">
        <v>0.0</v>
      </c>
      <c r="L81" s="14">
        <v>0.0</v>
      </c>
      <c r="M81" s="12">
        <v>5.0</v>
      </c>
      <c r="N81" s="14">
        <v>0.31</v>
      </c>
      <c r="O81" s="12">
        <v>6.0</v>
      </c>
      <c r="P81" s="14">
        <v>0.38</v>
      </c>
      <c r="Q81" s="12">
        <v>5.0</v>
      </c>
      <c r="R81" s="14">
        <v>0.31</v>
      </c>
      <c r="S81" s="12">
        <v>0.0</v>
      </c>
      <c r="T81" s="14">
        <v>0.0</v>
      </c>
      <c r="U81" s="12">
        <v>0.0</v>
      </c>
      <c r="V81" s="14">
        <v>0.0</v>
      </c>
      <c r="W81" s="12">
        <v>12.0</v>
      </c>
      <c r="X81" s="12">
        <v>6.0</v>
      </c>
      <c r="Y81" s="15">
        <v>0.5</v>
      </c>
      <c r="Z81" s="12">
        <v>16.0</v>
      </c>
      <c r="AA81" s="12">
        <v>4.0</v>
      </c>
      <c r="AB81" s="16">
        <v>0.25</v>
      </c>
    </row>
    <row r="82" ht="15.75" customHeight="1">
      <c r="A82" s="9">
        <v>2010000.0</v>
      </c>
      <c r="B82" s="9" t="s">
        <v>70</v>
      </c>
      <c r="C82" s="9">
        <v>2010063.0</v>
      </c>
      <c r="D82" s="9" t="s">
        <v>71</v>
      </c>
      <c r="E82" s="11" t="s">
        <v>33</v>
      </c>
      <c r="F82" s="11" t="s">
        <v>30</v>
      </c>
      <c r="G82" s="12">
        <v>61.0</v>
      </c>
      <c r="H82" s="12">
        <v>61.0</v>
      </c>
      <c r="I82" s="13">
        <v>1.0</v>
      </c>
      <c r="J82" s="12">
        <v>61.0</v>
      </c>
      <c r="K82" s="12">
        <v>43.0</v>
      </c>
      <c r="L82" s="14">
        <v>0.7</v>
      </c>
      <c r="M82" s="12">
        <v>9.0</v>
      </c>
      <c r="N82" s="14">
        <v>0.15</v>
      </c>
      <c r="O82" s="12">
        <v>6.0</v>
      </c>
      <c r="P82" s="14">
        <v>0.1</v>
      </c>
      <c r="Q82" s="12">
        <v>2.0</v>
      </c>
      <c r="R82" s="14">
        <v>0.03</v>
      </c>
      <c r="S82" s="12">
        <v>1.0</v>
      </c>
      <c r="T82" s="14">
        <v>0.02</v>
      </c>
      <c r="U82" s="12">
        <v>0.0</v>
      </c>
      <c r="V82" s="14">
        <v>0.0</v>
      </c>
      <c r="W82" s="9"/>
      <c r="X82" s="9"/>
      <c r="Y82" s="17"/>
      <c r="Z82" s="12">
        <v>61.0</v>
      </c>
      <c r="AA82" s="12">
        <v>1.0</v>
      </c>
      <c r="AB82" s="16">
        <v>0.02</v>
      </c>
    </row>
    <row r="83" ht="15.75" customHeight="1">
      <c r="A83" s="9">
        <v>2010000.0</v>
      </c>
      <c r="B83" s="9" t="s">
        <v>70</v>
      </c>
      <c r="C83" s="9">
        <v>2010063.0</v>
      </c>
      <c r="D83" s="9" t="s">
        <v>71</v>
      </c>
      <c r="E83" s="10">
        <v>44198.0</v>
      </c>
      <c r="F83" s="11" t="s">
        <v>30</v>
      </c>
      <c r="G83" s="12">
        <v>143.0</v>
      </c>
      <c r="H83" s="12">
        <v>143.0</v>
      </c>
      <c r="I83" s="13">
        <v>1.0</v>
      </c>
      <c r="J83" s="12">
        <v>142.0</v>
      </c>
      <c r="K83" s="12">
        <v>9.0</v>
      </c>
      <c r="L83" s="14">
        <v>0.06</v>
      </c>
      <c r="M83" s="12">
        <v>43.0</v>
      </c>
      <c r="N83" s="14">
        <v>0.3</v>
      </c>
      <c r="O83" s="12">
        <v>65.0</v>
      </c>
      <c r="P83" s="14">
        <v>0.46</v>
      </c>
      <c r="Q83" s="12">
        <v>23.0</v>
      </c>
      <c r="R83" s="14">
        <v>0.16</v>
      </c>
      <c r="S83" s="12">
        <v>2.0</v>
      </c>
      <c r="T83" s="14">
        <v>0.01</v>
      </c>
      <c r="U83" s="12">
        <v>0.0</v>
      </c>
      <c r="V83" s="14">
        <v>0.0</v>
      </c>
      <c r="W83" s="12">
        <v>129.0</v>
      </c>
      <c r="X83" s="12">
        <v>83.0</v>
      </c>
      <c r="Y83" s="15">
        <v>0.64</v>
      </c>
      <c r="Z83" s="12">
        <v>143.0</v>
      </c>
      <c r="AA83" s="12">
        <v>18.0</v>
      </c>
      <c r="AB83" s="16">
        <v>0.13</v>
      </c>
    </row>
    <row r="84" ht="15.75" customHeight="1">
      <c r="A84" s="9">
        <v>2010000.0</v>
      </c>
      <c r="B84" s="9" t="s">
        <v>70</v>
      </c>
      <c r="C84" s="9">
        <v>2010063.0</v>
      </c>
      <c r="D84" s="9" t="s">
        <v>71</v>
      </c>
      <c r="E84" s="10">
        <v>44260.0</v>
      </c>
      <c r="F84" s="11" t="s">
        <v>30</v>
      </c>
      <c r="G84" s="12">
        <v>168.0</v>
      </c>
      <c r="H84" s="12">
        <v>167.0</v>
      </c>
      <c r="I84" s="13">
        <v>0.99</v>
      </c>
      <c r="J84" s="12">
        <v>166.0</v>
      </c>
      <c r="K84" s="12">
        <v>13.0</v>
      </c>
      <c r="L84" s="14">
        <v>0.08</v>
      </c>
      <c r="M84" s="12">
        <v>20.0</v>
      </c>
      <c r="N84" s="14">
        <v>0.12</v>
      </c>
      <c r="O84" s="12">
        <v>42.0</v>
      </c>
      <c r="P84" s="14">
        <v>0.25</v>
      </c>
      <c r="Q84" s="12">
        <v>66.0</v>
      </c>
      <c r="R84" s="14">
        <v>0.4</v>
      </c>
      <c r="S84" s="12">
        <v>21.0</v>
      </c>
      <c r="T84" s="14">
        <v>0.13</v>
      </c>
      <c r="U84" s="12">
        <v>4.0</v>
      </c>
      <c r="V84" s="14">
        <v>0.02</v>
      </c>
      <c r="W84" s="12">
        <v>149.0</v>
      </c>
      <c r="X84" s="12">
        <v>99.0</v>
      </c>
      <c r="Y84" s="15">
        <v>0.66</v>
      </c>
      <c r="Z84" s="12">
        <v>168.0</v>
      </c>
      <c r="AA84" s="12">
        <v>73.0</v>
      </c>
      <c r="AB84" s="16">
        <v>0.43</v>
      </c>
    </row>
    <row r="85" ht="15.75" customHeight="1">
      <c r="A85" s="9">
        <v>2010000.0</v>
      </c>
      <c r="B85" s="9" t="s">
        <v>70</v>
      </c>
      <c r="C85" s="9">
        <v>2010063.0</v>
      </c>
      <c r="D85" s="9" t="s">
        <v>71</v>
      </c>
      <c r="E85" s="11" t="s">
        <v>30</v>
      </c>
      <c r="F85" s="11" t="s">
        <v>30</v>
      </c>
      <c r="G85" s="12">
        <v>372.0</v>
      </c>
      <c r="H85" s="12">
        <v>371.0</v>
      </c>
      <c r="I85" s="13">
        <v>1.0</v>
      </c>
      <c r="J85" s="12">
        <v>369.0</v>
      </c>
      <c r="K85" s="12">
        <v>65.0</v>
      </c>
      <c r="L85" s="14">
        <v>0.18</v>
      </c>
      <c r="M85" s="12">
        <v>72.0</v>
      </c>
      <c r="N85" s="14">
        <v>0.2</v>
      </c>
      <c r="O85" s="12">
        <v>113.0</v>
      </c>
      <c r="P85" s="14">
        <v>0.31</v>
      </c>
      <c r="Q85" s="12">
        <v>91.0</v>
      </c>
      <c r="R85" s="14">
        <v>0.25</v>
      </c>
      <c r="S85" s="12">
        <v>24.0</v>
      </c>
      <c r="T85" s="14">
        <v>0.07</v>
      </c>
      <c r="U85" s="12">
        <v>4.0</v>
      </c>
      <c r="V85" s="14">
        <v>0.01</v>
      </c>
      <c r="W85" s="12">
        <v>278.0</v>
      </c>
      <c r="X85" s="12">
        <v>182.0</v>
      </c>
      <c r="Y85" s="15">
        <v>0.65</v>
      </c>
      <c r="Z85" s="12">
        <v>372.0</v>
      </c>
      <c r="AA85" s="12">
        <v>92.0</v>
      </c>
      <c r="AB85" s="16">
        <v>0.25</v>
      </c>
    </row>
    <row r="86" ht="15.75" customHeight="1">
      <c r="A86" s="9">
        <v>2740000.0</v>
      </c>
      <c r="B86" s="9" t="s">
        <v>72</v>
      </c>
      <c r="C86" s="9">
        <v>2740111.0</v>
      </c>
      <c r="D86" s="9" t="s">
        <v>73</v>
      </c>
      <c r="E86" s="11" t="s">
        <v>33</v>
      </c>
      <c r="F86" s="11" t="s">
        <v>30</v>
      </c>
      <c r="G86" s="12">
        <v>33.0</v>
      </c>
      <c r="H86" s="12">
        <v>33.0</v>
      </c>
      <c r="I86" s="13">
        <v>1.0</v>
      </c>
      <c r="J86" s="12">
        <v>33.0</v>
      </c>
      <c r="K86" s="12">
        <v>24.0</v>
      </c>
      <c r="L86" s="14">
        <v>0.73</v>
      </c>
      <c r="M86" s="12">
        <v>7.0</v>
      </c>
      <c r="N86" s="14">
        <v>0.21</v>
      </c>
      <c r="O86" s="12">
        <v>1.0</v>
      </c>
      <c r="P86" s="14">
        <v>0.03</v>
      </c>
      <c r="Q86" s="12">
        <v>1.0</v>
      </c>
      <c r="R86" s="14">
        <v>0.03</v>
      </c>
      <c r="S86" s="12">
        <v>0.0</v>
      </c>
      <c r="T86" s="14">
        <v>0.0</v>
      </c>
      <c r="U86" s="12">
        <v>0.0</v>
      </c>
      <c r="V86" s="14">
        <v>0.0</v>
      </c>
      <c r="W86" s="9"/>
      <c r="X86" s="9"/>
      <c r="Y86" s="17"/>
      <c r="Z86" s="12">
        <v>33.0</v>
      </c>
      <c r="AA86" s="12">
        <v>0.0</v>
      </c>
      <c r="AB86" s="16">
        <v>0.0</v>
      </c>
    </row>
    <row r="87" ht="15.75" customHeight="1">
      <c r="A87" s="9">
        <v>2740000.0</v>
      </c>
      <c r="B87" s="9" t="s">
        <v>72</v>
      </c>
      <c r="C87" s="9">
        <v>2740111.0</v>
      </c>
      <c r="D87" s="9" t="s">
        <v>73</v>
      </c>
      <c r="E87" s="10">
        <v>44198.0</v>
      </c>
      <c r="F87" s="11" t="s">
        <v>30</v>
      </c>
      <c r="G87" s="12">
        <v>77.0</v>
      </c>
      <c r="H87" s="12">
        <v>76.0</v>
      </c>
      <c r="I87" s="13">
        <v>0.99</v>
      </c>
      <c r="J87" s="12">
        <v>73.0</v>
      </c>
      <c r="K87" s="12">
        <v>3.0</v>
      </c>
      <c r="L87" s="14">
        <v>0.04</v>
      </c>
      <c r="M87" s="12">
        <v>26.0</v>
      </c>
      <c r="N87" s="14">
        <v>0.36</v>
      </c>
      <c r="O87" s="12">
        <v>35.0</v>
      </c>
      <c r="P87" s="14">
        <v>0.48</v>
      </c>
      <c r="Q87" s="12">
        <v>9.0</v>
      </c>
      <c r="R87" s="14">
        <v>0.12</v>
      </c>
      <c r="S87" s="12">
        <v>0.0</v>
      </c>
      <c r="T87" s="14">
        <v>0.0</v>
      </c>
      <c r="U87" s="12">
        <v>0.0</v>
      </c>
      <c r="V87" s="14">
        <v>0.0</v>
      </c>
      <c r="W87" s="12">
        <v>75.0</v>
      </c>
      <c r="X87" s="12">
        <v>43.0</v>
      </c>
      <c r="Y87" s="15">
        <v>0.57</v>
      </c>
      <c r="Z87" s="12">
        <v>77.0</v>
      </c>
      <c r="AA87" s="12">
        <v>5.0</v>
      </c>
      <c r="AB87" s="16">
        <v>0.06</v>
      </c>
    </row>
    <row r="88" ht="15.75" customHeight="1">
      <c r="A88" s="9">
        <v>2740000.0</v>
      </c>
      <c r="B88" s="9" t="s">
        <v>72</v>
      </c>
      <c r="C88" s="9">
        <v>2740111.0</v>
      </c>
      <c r="D88" s="9" t="s">
        <v>73</v>
      </c>
      <c r="E88" s="10">
        <v>44260.0</v>
      </c>
      <c r="F88" s="11" t="s">
        <v>30</v>
      </c>
      <c r="G88" s="12">
        <v>97.0</v>
      </c>
      <c r="H88" s="12">
        <v>97.0</v>
      </c>
      <c r="I88" s="13">
        <v>1.0</v>
      </c>
      <c r="J88" s="12">
        <v>97.0</v>
      </c>
      <c r="K88" s="12">
        <v>3.0</v>
      </c>
      <c r="L88" s="14">
        <v>0.03</v>
      </c>
      <c r="M88" s="12">
        <v>12.0</v>
      </c>
      <c r="N88" s="14">
        <v>0.12</v>
      </c>
      <c r="O88" s="12">
        <v>45.0</v>
      </c>
      <c r="P88" s="14">
        <v>0.46</v>
      </c>
      <c r="Q88" s="12">
        <v>29.0</v>
      </c>
      <c r="R88" s="14">
        <v>0.3</v>
      </c>
      <c r="S88" s="12">
        <v>8.0</v>
      </c>
      <c r="T88" s="14">
        <v>0.08</v>
      </c>
      <c r="U88" s="12">
        <v>0.0</v>
      </c>
      <c r="V88" s="14">
        <v>0.0</v>
      </c>
      <c r="W88" s="12">
        <v>96.0</v>
      </c>
      <c r="X88" s="12">
        <v>53.0</v>
      </c>
      <c r="Y88" s="15">
        <v>0.55</v>
      </c>
      <c r="Z88" s="12">
        <v>97.0</v>
      </c>
      <c r="AA88" s="12">
        <v>29.0</v>
      </c>
      <c r="AB88" s="16">
        <v>0.3</v>
      </c>
    </row>
    <row r="89" ht="15.75" customHeight="1">
      <c r="A89" s="9">
        <v>2740000.0</v>
      </c>
      <c r="B89" s="9" t="s">
        <v>72</v>
      </c>
      <c r="C89" s="9">
        <v>2740111.0</v>
      </c>
      <c r="D89" s="9" t="s">
        <v>73</v>
      </c>
      <c r="E89" s="10">
        <v>44355.0</v>
      </c>
      <c r="F89" s="11" t="s">
        <v>30</v>
      </c>
      <c r="G89" s="12">
        <v>36.0</v>
      </c>
      <c r="H89" s="12">
        <v>36.0</v>
      </c>
      <c r="I89" s="13">
        <v>1.0</v>
      </c>
      <c r="J89" s="12">
        <v>36.0</v>
      </c>
      <c r="K89" s="12">
        <v>1.0</v>
      </c>
      <c r="L89" s="14">
        <v>0.03</v>
      </c>
      <c r="M89" s="12">
        <v>11.0</v>
      </c>
      <c r="N89" s="14">
        <v>0.31</v>
      </c>
      <c r="O89" s="12">
        <v>19.0</v>
      </c>
      <c r="P89" s="14">
        <v>0.53</v>
      </c>
      <c r="Q89" s="12">
        <v>5.0</v>
      </c>
      <c r="R89" s="14">
        <v>0.14</v>
      </c>
      <c r="S89" s="12">
        <v>0.0</v>
      </c>
      <c r="T89" s="14">
        <v>0.0</v>
      </c>
      <c r="U89" s="12">
        <v>0.0</v>
      </c>
      <c r="V89" s="14">
        <v>0.0</v>
      </c>
      <c r="W89" s="12">
        <v>36.0</v>
      </c>
      <c r="X89" s="12">
        <v>3.0</v>
      </c>
      <c r="Y89" s="15">
        <v>0.08</v>
      </c>
      <c r="Z89" s="12">
        <v>36.0</v>
      </c>
      <c r="AA89" s="12">
        <v>2.0</v>
      </c>
      <c r="AB89" s="16">
        <v>0.06</v>
      </c>
    </row>
    <row r="90" ht="15.75" customHeight="1">
      <c r="A90" s="9">
        <v>2740000.0</v>
      </c>
      <c r="B90" s="9" t="s">
        <v>72</v>
      </c>
      <c r="C90" s="9">
        <v>2740111.0</v>
      </c>
      <c r="D90" s="9" t="s">
        <v>73</v>
      </c>
      <c r="E90" s="11" t="s">
        <v>30</v>
      </c>
      <c r="F90" s="11" t="s">
        <v>30</v>
      </c>
      <c r="G90" s="12">
        <v>243.0</v>
      </c>
      <c r="H90" s="12">
        <v>242.0</v>
      </c>
      <c r="I90" s="13">
        <v>1.0</v>
      </c>
      <c r="J90" s="12">
        <v>239.0</v>
      </c>
      <c r="K90" s="12">
        <v>31.0</v>
      </c>
      <c r="L90" s="14">
        <v>0.13</v>
      </c>
      <c r="M90" s="12">
        <v>56.0</v>
      </c>
      <c r="N90" s="14">
        <v>0.23</v>
      </c>
      <c r="O90" s="12">
        <v>100.0</v>
      </c>
      <c r="P90" s="14">
        <v>0.42</v>
      </c>
      <c r="Q90" s="12">
        <v>44.0</v>
      </c>
      <c r="R90" s="14">
        <v>0.18</v>
      </c>
      <c r="S90" s="12">
        <v>8.0</v>
      </c>
      <c r="T90" s="14">
        <v>0.03</v>
      </c>
      <c r="U90" s="12">
        <v>0.0</v>
      </c>
      <c r="V90" s="14">
        <v>0.0</v>
      </c>
      <c r="W90" s="12">
        <v>207.0</v>
      </c>
      <c r="X90" s="12">
        <v>99.0</v>
      </c>
      <c r="Y90" s="15">
        <v>0.48</v>
      </c>
      <c r="Z90" s="12">
        <v>243.0</v>
      </c>
      <c r="AA90" s="12">
        <v>36.0</v>
      </c>
      <c r="AB90" s="16">
        <v>0.15</v>
      </c>
    </row>
    <row r="91" ht="15.75" customHeight="1">
      <c r="A91" s="9">
        <v>2770000.0</v>
      </c>
      <c r="B91" s="9" t="s">
        <v>74</v>
      </c>
      <c r="C91" s="9">
        <v>2770010.0</v>
      </c>
      <c r="D91" s="9" t="s">
        <v>75</v>
      </c>
      <c r="E91" s="11" t="s">
        <v>33</v>
      </c>
      <c r="F91" s="11" t="s">
        <v>30</v>
      </c>
      <c r="G91" s="12">
        <v>41.0</v>
      </c>
      <c r="H91" s="12">
        <v>40.0</v>
      </c>
      <c r="I91" s="13">
        <v>0.98</v>
      </c>
      <c r="J91" s="12">
        <v>40.0</v>
      </c>
      <c r="K91" s="12">
        <v>18.0</v>
      </c>
      <c r="L91" s="14">
        <v>0.45</v>
      </c>
      <c r="M91" s="12">
        <v>6.0</v>
      </c>
      <c r="N91" s="14">
        <v>0.15</v>
      </c>
      <c r="O91" s="12">
        <v>8.0</v>
      </c>
      <c r="P91" s="14">
        <v>0.2</v>
      </c>
      <c r="Q91" s="12">
        <v>7.0</v>
      </c>
      <c r="R91" s="14">
        <v>0.18</v>
      </c>
      <c r="S91" s="12">
        <v>1.0</v>
      </c>
      <c r="T91" s="14">
        <v>0.03</v>
      </c>
      <c r="U91" s="12">
        <v>0.0</v>
      </c>
      <c r="V91" s="14">
        <v>0.0</v>
      </c>
      <c r="W91" s="9"/>
      <c r="X91" s="9"/>
      <c r="Y91" s="17"/>
      <c r="Z91" s="12">
        <v>41.0</v>
      </c>
      <c r="AA91" s="12">
        <v>1.0</v>
      </c>
      <c r="AB91" s="16">
        <v>0.02</v>
      </c>
    </row>
    <row r="92" ht="15.75" customHeight="1">
      <c r="A92" s="9">
        <v>2770000.0</v>
      </c>
      <c r="B92" s="9" t="s">
        <v>74</v>
      </c>
      <c r="C92" s="9">
        <v>2770010.0</v>
      </c>
      <c r="D92" s="9" t="s">
        <v>75</v>
      </c>
      <c r="E92" s="10">
        <v>44198.0</v>
      </c>
      <c r="F92" s="11" t="s">
        <v>30</v>
      </c>
      <c r="G92" s="12">
        <v>24.0</v>
      </c>
      <c r="H92" s="12">
        <v>23.0</v>
      </c>
      <c r="I92" s="13">
        <v>0.96</v>
      </c>
      <c r="J92" s="12">
        <v>22.0</v>
      </c>
      <c r="K92" s="12">
        <v>3.0</v>
      </c>
      <c r="L92" s="14">
        <v>0.14</v>
      </c>
      <c r="M92" s="12">
        <v>6.0</v>
      </c>
      <c r="N92" s="14">
        <v>0.27</v>
      </c>
      <c r="O92" s="12">
        <v>13.0</v>
      </c>
      <c r="P92" s="14">
        <v>0.59</v>
      </c>
      <c r="Q92" s="12">
        <v>0.0</v>
      </c>
      <c r="R92" s="14">
        <v>0.0</v>
      </c>
      <c r="S92" s="12">
        <v>0.0</v>
      </c>
      <c r="T92" s="14">
        <v>0.0</v>
      </c>
      <c r="U92" s="12">
        <v>0.0</v>
      </c>
      <c r="V92" s="14">
        <v>0.0</v>
      </c>
      <c r="W92" s="12">
        <v>22.0</v>
      </c>
      <c r="X92" s="12">
        <v>12.0</v>
      </c>
      <c r="Y92" s="15">
        <v>0.55</v>
      </c>
      <c r="Z92" s="12">
        <v>24.0</v>
      </c>
      <c r="AA92" s="12">
        <v>0.0</v>
      </c>
      <c r="AB92" s="16">
        <v>0.0</v>
      </c>
    </row>
    <row r="93" ht="15.75" customHeight="1">
      <c r="A93" s="9">
        <v>2770000.0</v>
      </c>
      <c r="B93" s="9" t="s">
        <v>74</v>
      </c>
      <c r="C93" s="9">
        <v>2770010.0</v>
      </c>
      <c r="D93" s="9" t="s">
        <v>75</v>
      </c>
      <c r="E93" s="11" t="s">
        <v>30</v>
      </c>
      <c r="F93" s="11" t="s">
        <v>30</v>
      </c>
      <c r="G93" s="12">
        <v>65.0</v>
      </c>
      <c r="H93" s="12">
        <v>63.0</v>
      </c>
      <c r="I93" s="13">
        <v>0.97</v>
      </c>
      <c r="J93" s="12">
        <v>62.0</v>
      </c>
      <c r="K93" s="12">
        <v>21.0</v>
      </c>
      <c r="L93" s="14">
        <v>0.34</v>
      </c>
      <c r="M93" s="12">
        <v>12.0</v>
      </c>
      <c r="N93" s="14">
        <v>0.19</v>
      </c>
      <c r="O93" s="12">
        <v>21.0</v>
      </c>
      <c r="P93" s="14">
        <v>0.34</v>
      </c>
      <c r="Q93" s="12">
        <v>7.0</v>
      </c>
      <c r="R93" s="14">
        <v>0.11</v>
      </c>
      <c r="S93" s="12">
        <v>1.0</v>
      </c>
      <c r="T93" s="14">
        <v>0.02</v>
      </c>
      <c r="U93" s="12">
        <v>0.0</v>
      </c>
      <c r="V93" s="14">
        <v>0.0</v>
      </c>
      <c r="W93" s="12">
        <v>22.0</v>
      </c>
      <c r="X93" s="12">
        <v>12.0</v>
      </c>
      <c r="Y93" s="15">
        <v>0.55</v>
      </c>
      <c r="Z93" s="12">
        <v>65.0</v>
      </c>
      <c r="AA93" s="12">
        <v>1.0</v>
      </c>
      <c r="AB93" s="16">
        <v>0.02</v>
      </c>
    </row>
    <row r="94" ht="15.75" customHeight="1">
      <c r="A94" s="9">
        <v>2770000.0</v>
      </c>
      <c r="B94" s="9" t="s">
        <v>74</v>
      </c>
      <c r="C94" s="9">
        <v>2770020.0</v>
      </c>
      <c r="D94" s="9" t="s">
        <v>76</v>
      </c>
      <c r="E94" s="10">
        <v>44198.0</v>
      </c>
      <c r="F94" s="11" t="s">
        <v>30</v>
      </c>
      <c r="G94" s="12">
        <v>25.0</v>
      </c>
      <c r="H94" s="12">
        <v>25.0</v>
      </c>
      <c r="I94" s="13">
        <v>1.0</v>
      </c>
      <c r="J94" s="12">
        <v>25.0</v>
      </c>
      <c r="K94" s="12">
        <v>5.0</v>
      </c>
      <c r="L94" s="14">
        <v>0.2</v>
      </c>
      <c r="M94" s="12">
        <v>12.0</v>
      </c>
      <c r="N94" s="14">
        <v>0.48</v>
      </c>
      <c r="O94" s="12">
        <v>7.0</v>
      </c>
      <c r="P94" s="14">
        <v>0.28</v>
      </c>
      <c r="Q94" s="12">
        <v>1.0</v>
      </c>
      <c r="R94" s="14">
        <v>0.04</v>
      </c>
      <c r="S94" s="12">
        <v>0.0</v>
      </c>
      <c r="T94" s="14">
        <v>0.0</v>
      </c>
      <c r="U94" s="12">
        <v>0.0</v>
      </c>
      <c r="V94" s="14">
        <v>0.0</v>
      </c>
      <c r="W94" s="12">
        <v>23.0</v>
      </c>
      <c r="X94" s="12">
        <v>5.0</v>
      </c>
      <c r="Y94" s="15">
        <v>0.22</v>
      </c>
      <c r="Z94" s="12">
        <v>25.0</v>
      </c>
      <c r="AA94" s="12">
        <v>1.0</v>
      </c>
      <c r="AB94" s="16">
        <v>0.04</v>
      </c>
    </row>
    <row r="95" ht="15.75" customHeight="1">
      <c r="A95" s="9">
        <v>2770000.0</v>
      </c>
      <c r="B95" s="9" t="s">
        <v>74</v>
      </c>
      <c r="C95" s="9">
        <v>2770020.0</v>
      </c>
      <c r="D95" s="9" t="s">
        <v>76</v>
      </c>
      <c r="E95" s="10">
        <v>44260.0</v>
      </c>
      <c r="F95" s="11" t="s">
        <v>30</v>
      </c>
      <c r="G95" s="12">
        <v>66.0</v>
      </c>
      <c r="H95" s="12">
        <v>66.0</v>
      </c>
      <c r="I95" s="13">
        <v>1.0</v>
      </c>
      <c r="J95" s="12">
        <v>66.0</v>
      </c>
      <c r="K95" s="12">
        <v>4.0</v>
      </c>
      <c r="L95" s="14">
        <v>0.06</v>
      </c>
      <c r="M95" s="12">
        <v>16.0</v>
      </c>
      <c r="N95" s="14">
        <v>0.24</v>
      </c>
      <c r="O95" s="12">
        <v>36.0</v>
      </c>
      <c r="P95" s="14">
        <v>0.55</v>
      </c>
      <c r="Q95" s="12">
        <v>9.0</v>
      </c>
      <c r="R95" s="14">
        <v>0.14</v>
      </c>
      <c r="S95" s="12">
        <v>1.0</v>
      </c>
      <c r="T95" s="14">
        <v>0.02</v>
      </c>
      <c r="U95" s="12">
        <v>0.0</v>
      </c>
      <c r="V95" s="14">
        <v>0.0</v>
      </c>
      <c r="W95" s="12">
        <v>62.0</v>
      </c>
      <c r="X95" s="12">
        <v>12.0</v>
      </c>
      <c r="Y95" s="15">
        <v>0.19</v>
      </c>
      <c r="Z95" s="12">
        <v>66.0</v>
      </c>
      <c r="AA95" s="12">
        <v>6.0</v>
      </c>
      <c r="AB95" s="16">
        <v>0.09</v>
      </c>
    </row>
    <row r="96" ht="15.75" customHeight="1">
      <c r="A96" s="9">
        <v>2770000.0</v>
      </c>
      <c r="B96" s="9" t="s">
        <v>74</v>
      </c>
      <c r="C96" s="9">
        <v>2770020.0</v>
      </c>
      <c r="D96" s="9" t="s">
        <v>76</v>
      </c>
      <c r="E96" s="11" t="s">
        <v>30</v>
      </c>
      <c r="F96" s="11" t="s">
        <v>30</v>
      </c>
      <c r="G96" s="12">
        <v>91.0</v>
      </c>
      <c r="H96" s="12">
        <v>91.0</v>
      </c>
      <c r="I96" s="13">
        <v>1.0</v>
      </c>
      <c r="J96" s="12">
        <v>91.0</v>
      </c>
      <c r="K96" s="12">
        <v>9.0</v>
      </c>
      <c r="L96" s="14">
        <v>0.1</v>
      </c>
      <c r="M96" s="12">
        <v>28.0</v>
      </c>
      <c r="N96" s="14">
        <v>0.31</v>
      </c>
      <c r="O96" s="12">
        <v>43.0</v>
      </c>
      <c r="P96" s="14">
        <v>0.47</v>
      </c>
      <c r="Q96" s="12">
        <v>10.0</v>
      </c>
      <c r="R96" s="14">
        <v>0.11</v>
      </c>
      <c r="S96" s="12">
        <v>1.0</v>
      </c>
      <c r="T96" s="14">
        <v>0.01</v>
      </c>
      <c r="U96" s="12">
        <v>0.0</v>
      </c>
      <c r="V96" s="14">
        <v>0.0</v>
      </c>
      <c r="W96" s="12">
        <v>85.0</v>
      </c>
      <c r="X96" s="12">
        <v>17.0</v>
      </c>
      <c r="Y96" s="15">
        <v>0.2</v>
      </c>
      <c r="Z96" s="12">
        <v>91.0</v>
      </c>
      <c r="AA96" s="12">
        <v>7.0</v>
      </c>
      <c r="AB96" s="16">
        <v>0.08</v>
      </c>
    </row>
    <row r="97" ht="15.75" customHeight="1">
      <c r="A97" s="9">
        <v>3080000.0</v>
      </c>
      <c r="B97" s="9" t="s">
        <v>77</v>
      </c>
      <c r="C97" s="9">
        <v>3080001.0</v>
      </c>
      <c r="D97" s="9" t="s">
        <v>78</v>
      </c>
      <c r="E97" s="11" t="s">
        <v>33</v>
      </c>
      <c r="F97" s="11" t="s">
        <v>30</v>
      </c>
      <c r="G97" s="12">
        <v>22.0</v>
      </c>
      <c r="H97" s="12">
        <v>22.0</v>
      </c>
      <c r="I97" s="13">
        <v>1.0</v>
      </c>
      <c r="J97" s="12">
        <v>22.0</v>
      </c>
      <c r="K97" s="12">
        <v>16.0</v>
      </c>
      <c r="L97" s="14">
        <v>0.73</v>
      </c>
      <c r="M97" s="12">
        <v>4.0</v>
      </c>
      <c r="N97" s="14">
        <v>0.18</v>
      </c>
      <c r="O97" s="12">
        <v>2.0</v>
      </c>
      <c r="P97" s="14">
        <v>0.09</v>
      </c>
      <c r="Q97" s="12">
        <v>0.0</v>
      </c>
      <c r="R97" s="14">
        <v>0.0</v>
      </c>
      <c r="S97" s="12">
        <v>0.0</v>
      </c>
      <c r="T97" s="14">
        <v>0.0</v>
      </c>
      <c r="U97" s="12">
        <v>0.0</v>
      </c>
      <c r="V97" s="14">
        <v>0.0</v>
      </c>
      <c r="W97" s="9"/>
      <c r="X97" s="9"/>
      <c r="Y97" s="17"/>
      <c r="Z97" s="12">
        <v>22.0</v>
      </c>
      <c r="AA97" s="12">
        <v>0.0</v>
      </c>
      <c r="AB97" s="16">
        <v>0.0</v>
      </c>
    </row>
    <row r="98" ht="15.75" customHeight="1">
      <c r="A98" s="9">
        <v>3080000.0</v>
      </c>
      <c r="B98" s="9" t="s">
        <v>77</v>
      </c>
      <c r="C98" s="9">
        <v>3080001.0</v>
      </c>
      <c r="D98" s="9" t="s">
        <v>78</v>
      </c>
      <c r="E98" s="10">
        <v>44198.0</v>
      </c>
      <c r="F98" s="11" t="s">
        <v>30</v>
      </c>
      <c r="G98" s="12">
        <v>42.0</v>
      </c>
      <c r="H98" s="12">
        <v>42.0</v>
      </c>
      <c r="I98" s="13">
        <v>1.0</v>
      </c>
      <c r="J98" s="12">
        <v>42.0</v>
      </c>
      <c r="K98" s="12">
        <v>5.0</v>
      </c>
      <c r="L98" s="14">
        <v>0.12</v>
      </c>
      <c r="M98" s="12">
        <v>20.0</v>
      </c>
      <c r="N98" s="14">
        <v>0.48</v>
      </c>
      <c r="O98" s="12">
        <v>16.0</v>
      </c>
      <c r="P98" s="14">
        <v>0.38</v>
      </c>
      <c r="Q98" s="12">
        <v>1.0</v>
      </c>
      <c r="R98" s="14">
        <v>0.02</v>
      </c>
      <c r="S98" s="12">
        <v>0.0</v>
      </c>
      <c r="T98" s="14">
        <v>0.0</v>
      </c>
      <c r="U98" s="12">
        <v>0.0</v>
      </c>
      <c r="V98" s="14">
        <v>0.0</v>
      </c>
      <c r="W98" s="12">
        <v>42.0</v>
      </c>
      <c r="X98" s="12">
        <v>19.0</v>
      </c>
      <c r="Y98" s="15">
        <v>0.45</v>
      </c>
      <c r="Z98" s="12">
        <v>42.0</v>
      </c>
      <c r="AA98" s="12">
        <v>0.0</v>
      </c>
      <c r="AB98" s="16">
        <v>0.0</v>
      </c>
    </row>
    <row r="99" ht="15.75" customHeight="1">
      <c r="A99" s="9">
        <v>3080000.0</v>
      </c>
      <c r="B99" s="9" t="s">
        <v>77</v>
      </c>
      <c r="C99" s="9">
        <v>3080001.0</v>
      </c>
      <c r="D99" s="9" t="s">
        <v>78</v>
      </c>
      <c r="E99" s="11" t="s">
        <v>30</v>
      </c>
      <c r="F99" s="11" t="s">
        <v>30</v>
      </c>
      <c r="G99" s="12">
        <v>64.0</v>
      </c>
      <c r="H99" s="12">
        <v>64.0</v>
      </c>
      <c r="I99" s="13">
        <v>1.0</v>
      </c>
      <c r="J99" s="12">
        <v>64.0</v>
      </c>
      <c r="K99" s="12">
        <v>21.0</v>
      </c>
      <c r="L99" s="14">
        <v>0.33</v>
      </c>
      <c r="M99" s="12">
        <v>24.0</v>
      </c>
      <c r="N99" s="14">
        <v>0.38</v>
      </c>
      <c r="O99" s="12">
        <v>18.0</v>
      </c>
      <c r="P99" s="14">
        <v>0.28</v>
      </c>
      <c r="Q99" s="12">
        <v>1.0</v>
      </c>
      <c r="R99" s="14">
        <v>0.02</v>
      </c>
      <c r="S99" s="12">
        <v>0.0</v>
      </c>
      <c r="T99" s="14">
        <v>0.0</v>
      </c>
      <c r="U99" s="12">
        <v>0.0</v>
      </c>
      <c r="V99" s="14">
        <v>0.0</v>
      </c>
      <c r="W99" s="12">
        <v>42.0</v>
      </c>
      <c r="X99" s="12">
        <v>19.0</v>
      </c>
      <c r="Y99" s="15">
        <v>0.45</v>
      </c>
      <c r="Z99" s="12">
        <v>64.0</v>
      </c>
      <c r="AA99" s="12">
        <v>0.0</v>
      </c>
      <c r="AB99" s="16">
        <v>0.0</v>
      </c>
    </row>
    <row r="100" ht="15.75" customHeight="1">
      <c r="A100" s="9">
        <v>3150000.0</v>
      </c>
      <c r="B100" s="9" t="s">
        <v>79</v>
      </c>
      <c r="C100" s="9">
        <v>3150020.0</v>
      </c>
      <c r="D100" s="9" t="s">
        <v>80</v>
      </c>
      <c r="E100" s="10">
        <v>44198.0</v>
      </c>
      <c r="F100" s="11" t="s">
        <v>30</v>
      </c>
      <c r="G100" s="12">
        <v>16.0</v>
      </c>
      <c r="H100" s="12">
        <v>15.0</v>
      </c>
      <c r="I100" s="13">
        <v>0.94</v>
      </c>
      <c r="J100" s="12">
        <v>15.0</v>
      </c>
      <c r="K100" s="12">
        <v>0.0</v>
      </c>
      <c r="L100" s="14">
        <v>0.0</v>
      </c>
      <c r="M100" s="12">
        <v>0.0</v>
      </c>
      <c r="N100" s="14">
        <v>0.0</v>
      </c>
      <c r="O100" s="12">
        <v>7.0</v>
      </c>
      <c r="P100" s="14">
        <v>0.47</v>
      </c>
      <c r="Q100" s="12">
        <v>5.0</v>
      </c>
      <c r="R100" s="14">
        <v>0.33</v>
      </c>
      <c r="S100" s="12">
        <v>3.0</v>
      </c>
      <c r="T100" s="14">
        <v>0.2</v>
      </c>
      <c r="U100" s="12">
        <v>0.0</v>
      </c>
      <c r="V100" s="14">
        <v>0.0</v>
      </c>
      <c r="W100" s="12">
        <v>8.0</v>
      </c>
      <c r="X100" s="9"/>
      <c r="Y100" s="17"/>
      <c r="Z100" s="12">
        <v>16.0</v>
      </c>
      <c r="AA100" s="12">
        <v>6.0</v>
      </c>
      <c r="AB100" s="16">
        <v>0.38</v>
      </c>
    </row>
    <row r="101" ht="15.75" customHeight="1">
      <c r="A101" s="9">
        <v>3150000.0</v>
      </c>
      <c r="B101" s="9" t="s">
        <v>79</v>
      </c>
      <c r="C101" s="9">
        <v>3150020.0</v>
      </c>
      <c r="D101" s="9" t="s">
        <v>80</v>
      </c>
      <c r="E101" s="10">
        <v>44260.0</v>
      </c>
      <c r="F101" s="11" t="s">
        <v>30</v>
      </c>
      <c r="G101" s="12">
        <v>13.0</v>
      </c>
      <c r="H101" s="12">
        <v>9.0</v>
      </c>
      <c r="I101" s="13">
        <v>0.69</v>
      </c>
      <c r="J101" s="12">
        <v>9.0</v>
      </c>
      <c r="K101" s="9"/>
      <c r="L101" s="18"/>
      <c r="M101" s="9"/>
      <c r="N101" s="18"/>
      <c r="O101" s="9"/>
      <c r="P101" s="18"/>
      <c r="Q101" s="9"/>
      <c r="R101" s="18"/>
      <c r="S101" s="9"/>
      <c r="T101" s="18"/>
      <c r="U101" s="9"/>
      <c r="V101" s="18"/>
      <c r="W101" s="12">
        <v>11.0</v>
      </c>
      <c r="X101" s="12">
        <v>6.0</v>
      </c>
      <c r="Y101" s="15">
        <v>0.55</v>
      </c>
      <c r="Z101" s="12">
        <v>13.0</v>
      </c>
      <c r="AA101" s="12">
        <v>6.0</v>
      </c>
      <c r="AB101" s="16">
        <v>0.46</v>
      </c>
    </row>
    <row r="102" ht="15.75" customHeight="1">
      <c r="A102" s="9">
        <v>3150000.0</v>
      </c>
      <c r="B102" s="9" t="s">
        <v>79</v>
      </c>
      <c r="C102" s="9">
        <v>3150020.0</v>
      </c>
      <c r="D102" s="9" t="s">
        <v>80</v>
      </c>
      <c r="E102" s="11" t="s">
        <v>30</v>
      </c>
      <c r="F102" s="11" t="s">
        <v>30</v>
      </c>
      <c r="G102" s="12">
        <v>32.0</v>
      </c>
      <c r="H102" s="12">
        <v>27.0</v>
      </c>
      <c r="I102" s="13">
        <v>0.84</v>
      </c>
      <c r="J102" s="12">
        <v>27.0</v>
      </c>
      <c r="K102" s="12">
        <v>0.0</v>
      </c>
      <c r="L102" s="14">
        <v>0.0</v>
      </c>
      <c r="M102" s="12">
        <v>1.0</v>
      </c>
      <c r="N102" s="14">
        <v>0.04</v>
      </c>
      <c r="O102" s="12">
        <v>9.0</v>
      </c>
      <c r="P102" s="14">
        <v>0.33</v>
      </c>
      <c r="Q102" s="12">
        <v>13.0</v>
      </c>
      <c r="R102" s="14">
        <v>0.48</v>
      </c>
      <c r="S102" s="12">
        <v>4.0</v>
      </c>
      <c r="T102" s="14">
        <v>0.15</v>
      </c>
      <c r="U102" s="12">
        <v>0.0</v>
      </c>
      <c r="V102" s="14">
        <v>0.0</v>
      </c>
      <c r="W102" s="12">
        <v>19.0</v>
      </c>
      <c r="X102" s="12">
        <v>11.0</v>
      </c>
      <c r="Y102" s="15">
        <v>0.58</v>
      </c>
      <c r="Z102" s="12">
        <v>32.0</v>
      </c>
      <c r="AA102" s="12">
        <v>12.0</v>
      </c>
      <c r="AB102" s="16">
        <v>0.38</v>
      </c>
    </row>
    <row r="103" ht="15.75" customHeight="1">
      <c r="A103" s="9">
        <v>3480000.0</v>
      </c>
      <c r="B103" s="9" t="s">
        <v>81</v>
      </c>
      <c r="C103" s="9">
        <v>3480030.0</v>
      </c>
      <c r="D103" s="9" t="s">
        <v>82</v>
      </c>
      <c r="E103" s="11" t="s">
        <v>33</v>
      </c>
      <c r="F103" s="11" t="s">
        <v>30</v>
      </c>
      <c r="G103" s="12">
        <v>60.0</v>
      </c>
      <c r="H103" s="12">
        <v>60.0</v>
      </c>
      <c r="I103" s="13">
        <v>1.0</v>
      </c>
      <c r="J103" s="12">
        <v>60.0</v>
      </c>
      <c r="K103" s="12">
        <v>43.0</v>
      </c>
      <c r="L103" s="14">
        <v>0.72</v>
      </c>
      <c r="M103" s="12">
        <v>12.0</v>
      </c>
      <c r="N103" s="14">
        <v>0.2</v>
      </c>
      <c r="O103" s="12">
        <v>5.0</v>
      </c>
      <c r="P103" s="14">
        <v>0.08</v>
      </c>
      <c r="Q103" s="12">
        <v>0.0</v>
      </c>
      <c r="R103" s="14">
        <v>0.0</v>
      </c>
      <c r="S103" s="12">
        <v>0.0</v>
      </c>
      <c r="T103" s="14">
        <v>0.0</v>
      </c>
      <c r="U103" s="12">
        <v>0.0</v>
      </c>
      <c r="V103" s="14">
        <v>0.0</v>
      </c>
      <c r="W103" s="9"/>
      <c r="X103" s="9"/>
      <c r="Y103" s="17"/>
      <c r="Z103" s="12">
        <v>60.0</v>
      </c>
      <c r="AA103" s="12">
        <v>0.0</v>
      </c>
      <c r="AB103" s="16">
        <v>0.0</v>
      </c>
    </row>
    <row r="104" ht="15.75" customHeight="1">
      <c r="A104" s="9">
        <v>3480000.0</v>
      </c>
      <c r="B104" s="9" t="s">
        <v>81</v>
      </c>
      <c r="C104" s="9">
        <v>3480030.0</v>
      </c>
      <c r="D104" s="9" t="s">
        <v>82</v>
      </c>
      <c r="E104" s="10">
        <v>44198.0</v>
      </c>
      <c r="F104" s="11" t="s">
        <v>30</v>
      </c>
      <c r="G104" s="12">
        <v>122.0</v>
      </c>
      <c r="H104" s="12">
        <v>122.0</v>
      </c>
      <c r="I104" s="13">
        <v>1.0</v>
      </c>
      <c r="J104" s="12">
        <v>122.0</v>
      </c>
      <c r="K104" s="12">
        <v>7.0</v>
      </c>
      <c r="L104" s="14">
        <v>0.06</v>
      </c>
      <c r="M104" s="12">
        <v>33.0</v>
      </c>
      <c r="N104" s="14">
        <v>0.27</v>
      </c>
      <c r="O104" s="12">
        <v>59.0</v>
      </c>
      <c r="P104" s="14">
        <v>0.48</v>
      </c>
      <c r="Q104" s="12">
        <v>23.0</v>
      </c>
      <c r="R104" s="14">
        <v>0.19</v>
      </c>
      <c r="S104" s="12">
        <v>0.0</v>
      </c>
      <c r="T104" s="14">
        <v>0.0</v>
      </c>
      <c r="U104" s="12">
        <v>0.0</v>
      </c>
      <c r="V104" s="14">
        <v>0.0</v>
      </c>
      <c r="W104" s="12">
        <v>105.0</v>
      </c>
      <c r="X104" s="12">
        <v>74.0</v>
      </c>
      <c r="Y104" s="15">
        <v>0.7</v>
      </c>
      <c r="Z104" s="12">
        <v>122.0</v>
      </c>
      <c r="AA104" s="12">
        <v>9.0</v>
      </c>
      <c r="AB104" s="16">
        <v>0.07</v>
      </c>
    </row>
    <row r="105" ht="15.75" customHeight="1">
      <c r="A105" s="9">
        <v>3480000.0</v>
      </c>
      <c r="B105" s="9" t="s">
        <v>81</v>
      </c>
      <c r="C105" s="9">
        <v>3480030.0</v>
      </c>
      <c r="D105" s="9" t="s">
        <v>82</v>
      </c>
      <c r="E105" s="10">
        <v>44260.0</v>
      </c>
      <c r="F105" s="11" t="s">
        <v>30</v>
      </c>
      <c r="G105" s="12">
        <v>165.0</v>
      </c>
      <c r="H105" s="12">
        <v>164.0</v>
      </c>
      <c r="I105" s="13">
        <v>0.99</v>
      </c>
      <c r="J105" s="12">
        <v>164.0</v>
      </c>
      <c r="K105" s="12">
        <v>8.0</v>
      </c>
      <c r="L105" s="14">
        <v>0.05</v>
      </c>
      <c r="M105" s="12">
        <v>17.0</v>
      </c>
      <c r="N105" s="14">
        <v>0.1</v>
      </c>
      <c r="O105" s="12">
        <v>54.0</v>
      </c>
      <c r="P105" s="14">
        <v>0.33</v>
      </c>
      <c r="Q105" s="12">
        <v>63.0</v>
      </c>
      <c r="R105" s="14">
        <v>0.38</v>
      </c>
      <c r="S105" s="12">
        <v>22.0</v>
      </c>
      <c r="T105" s="14">
        <v>0.13</v>
      </c>
      <c r="U105" s="12">
        <v>0.0</v>
      </c>
      <c r="V105" s="14">
        <v>0.0</v>
      </c>
      <c r="W105" s="12">
        <v>147.0</v>
      </c>
      <c r="X105" s="12">
        <v>87.0</v>
      </c>
      <c r="Y105" s="15">
        <v>0.59</v>
      </c>
      <c r="Z105" s="12">
        <v>165.0</v>
      </c>
      <c r="AA105" s="12">
        <v>69.0</v>
      </c>
      <c r="AB105" s="16">
        <v>0.42</v>
      </c>
    </row>
    <row r="106" ht="15.75" customHeight="1">
      <c r="A106" s="9">
        <v>3480000.0</v>
      </c>
      <c r="B106" s="9" t="s">
        <v>81</v>
      </c>
      <c r="C106" s="9">
        <v>3480030.0</v>
      </c>
      <c r="D106" s="9" t="s">
        <v>82</v>
      </c>
      <c r="E106" s="10">
        <v>44355.0</v>
      </c>
      <c r="F106" s="11" t="s">
        <v>30</v>
      </c>
      <c r="G106" s="12">
        <v>35.0</v>
      </c>
      <c r="H106" s="12">
        <v>35.0</v>
      </c>
      <c r="I106" s="13">
        <v>1.0</v>
      </c>
      <c r="J106" s="12">
        <v>35.0</v>
      </c>
      <c r="K106" s="12">
        <v>0.0</v>
      </c>
      <c r="L106" s="14">
        <v>0.0</v>
      </c>
      <c r="M106" s="12">
        <v>11.0</v>
      </c>
      <c r="N106" s="14">
        <v>0.31</v>
      </c>
      <c r="O106" s="12">
        <v>13.0</v>
      </c>
      <c r="P106" s="14">
        <v>0.37</v>
      </c>
      <c r="Q106" s="12">
        <v>11.0</v>
      </c>
      <c r="R106" s="14">
        <v>0.31</v>
      </c>
      <c r="S106" s="12">
        <v>0.0</v>
      </c>
      <c r="T106" s="14">
        <v>0.0</v>
      </c>
      <c r="U106" s="12">
        <v>0.0</v>
      </c>
      <c r="V106" s="14">
        <v>0.0</v>
      </c>
      <c r="W106" s="12">
        <v>31.0</v>
      </c>
      <c r="X106" s="12">
        <v>14.0</v>
      </c>
      <c r="Y106" s="15">
        <v>0.45</v>
      </c>
      <c r="Z106" s="12">
        <v>35.0</v>
      </c>
      <c r="AA106" s="12">
        <v>6.0</v>
      </c>
      <c r="AB106" s="16">
        <v>0.17</v>
      </c>
    </row>
    <row r="107" ht="15.75" customHeight="1">
      <c r="A107" s="9">
        <v>3480000.0</v>
      </c>
      <c r="B107" s="9" t="s">
        <v>81</v>
      </c>
      <c r="C107" s="9">
        <v>3480030.0</v>
      </c>
      <c r="D107" s="9" t="s">
        <v>82</v>
      </c>
      <c r="E107" s="11" t="s">
        <v>30</v>
      </c>
      <c r="F107" s="11" t="s">
        <v>30</v>
      </c>
      <c r="G107" s="12">
        <v>382.0</v>
      </c>
      <c r="H107" s="12">
        <v>381.0</v>
      </c>
      <c r="I107" s="13">
        <v>1.0</v>
      </c>
      <c r="J107" s="12">
        <v>381.0</v>
      </c>
      <c r="K107" s="12">
        <v>58.0</v>
      </c>
      <c r="L107" s="14">
        <v>0.15</v>
      </c>
      <c r="M107" s="12">
        <v>73.0</v>
      </c>
      <c r="N107" s="14">
        <v>0.19</v>
      </c>
      <c r="O107" s="12">
        <v>131.0</v>
      </c>
      <c r="P107" s="14">
        <v>0.34</v>
      </c>
      <c r="Q107" s="12">
        <v>97.0</v>
      </c>
      <c r="R107" s="14">
        <v>0.25</v>
      </c>
      <c r="S107" s="12">
        <v>22.0</v>
      </c>
      <c r="T107" s="14">
        <v>0.06</v>
      </c>
      <c r="U107" s="12">
        <v>0.0</v>
      </c>
      <c r="V107" s="14">
        <v>0.0</v>
      </c>
      <c r="W107" s="12">
        <v>283.0</v>
      </c>
      <c r="X107" s="12">
        <v>175.0</v>
      </c>
      <c r="Y107" s="15">
        <v>0.62</v>
      </c>
      <c r="Z107" s="12">
        <v>382.0</v>
      </c>
      <c r="AA107" s="12">
        <v>84.0</v>
      </c>
      <c r="AB107" s="16">
        <v>0.22</v>
      </c>
    </row>
    <row r="108" ht="15.75" customHeight="1">
      <c r="A108" s="9">
        <v>3480000.0</v>
      </c>
      <c r="B108" s="9" t="s">
        <v>81</v>
      </c>
      <c r="C108" s="9">
        <v>3480052.0</v>
      </c>
      <c r="D108" s="9" t="s">
        <v>83</v>
      </c>
      <c r="E108" s="11" t="s">
        <v>33</v>
      </c>
      <c r="F108" s="11" t="s">
        <v>30</v>
      </c>
      <c r="G108" s="12">
        <v>39.0</v>
      </c>
      <c r="H108" s="12">
        <v>39.0</v>
      </c>
      <c r="I108" s="13">
        <v>1.0</v>
      </c>
      <c r="J108" s="12">
        <v>39.0</v>
      </c>
      <c r="K108" s="12">
        <v>25.0</v>
      </c>
      <c r="L108" s="14">
        <v>0.64</v>
      </c>
      <c r="M108" s="12">
        <v>6.0</v>
      </c>
      <c r="N108" s="14">
        <v>0.15</v>
      </c>
      <c r="O108" s="12">
        <v>4.0</v>
      </c>
      <c r="P108" s="14">
        <v>0.1</v>
      </c>
      <c r="Q108" s="12">
        <v>4.0</v>
      </c>
      <c r="R108" s="14">
        <v>0.1</v>
      </c>
      <c r="S108" s="12">
        <v>0.0</v>
      </c>
      <c r="T108" s="14">
        <v>0.0</v>
      </c>
      <c r="U108" s="12">
        <v>0.0</v>
      </c>
      <c r="V108" s="14">
        <v>0.0</v>
      </c>
      <c r="W108" s="9"/>
      <c r="X108" s="9"/>
      <c r="Y108" s="17"/>
      <c r="Z108" s="12">
        <v>39.0</v>
      </c>
      <c r="AA108" s="12">
        <v>0.0</v>
      </c>
      <c r="AB108" s="16">
        <v>0.0</v>
      </c>
    </row>
    <row r="109" ht="15.75" customHeight="1">
      <c r="A109" s="9">
        <v>3480000.0</v>
      </c>
      <c r="B109" s="9" t="s">
        <v>81</v>
      </c>
      <c r="C109" s="9">
        <v>3480052.0</v>
      </c>
      <c r="D109" s="9" t="s">
        <v>83</v>
      </c>
      <c r="E109" s="10">
        <v>44198.0</v>
      </c>
      <c r="F109" s="11" t="s">
        <v>30</v>
      </c>
      <c r="G109" s="12">
        <v>84.0</v>
      </c>
      <c r="H109" s="12">
        <v>84.0</v>
      </c>
      <c r="I109" s="13">
        <v>1.0</v>
      </c>
      <c r="J109" s="12">
        <v>84.0</v>
      </c>
      <c r="K109" s="12">
        <v>15.0</v>
      </c>
      <c r="L109" s="14">
        <v>0.18</v>
      </c>
      <c r="M109" s="12">
        <v>33.0</v>
      </c>
      <c r="N109" s="14">
        <v>0.39</v>
      </c>
      <c r="O109" s="12">
        <v>34.0</v>
      </c>
      <c r="P109" s="14">
        <v>0.4</v>
      </c>
      <c r="Q109" s="12">
        <v>2.0</v>
      </c>
      <c r="R109" s="14">
        <v>0.02</v>
      </c>
      <c r="S109" s="12">
        <v>0.0</v>
      </c>
      <c r="T109" s="14">
        <v>0.0</v>
      </c>
      <c r="U109" s="12">
        <v>0.0</v>
      </c>
      <c r="V109" s="14">
        <v>0.0</v>
      </c>
      <c r="W109" s="12">
        <v>66.0</v>
      </c>
      <c r="X109" s="12">
        <v>34.0</v>
      </c>
      <c r="Y109" s="15">
        <v>0.52</v>
      </c>
      <c r="Z109" s="12">
        <v>84.0</v>
      </c>
      <c r="AA109" s="12">
        <v>0.0</v>
      </c>
      <c r="AB109" s="16">
        <v>0.0</v>
      </c>
    </row>
    <row r="110" ht="15.75" customHeight="1">
      <c r="A110" s="9">
        <v>3480000.0</v>
      </c>
      <c r="B110" s="9" t="s">
        <v>81</v>
      </c>
      <c r="C110" s="9">
        <v>3480052.0</v>
      </c>
      <c r="D110" s="9" t="s">
        <v>83</v>
      </c>
      <c r="E110" s="10">
        <v>44260.0</v>
      </c>
      <c r="F110" s="11" t="s">
        <v>30</v>
      </c>
      <c r="G110" s="12">
        <v>141.0</v>
      </c>
      <c r="H110" s="12">
        <v>141.0</v>
      </c>
      <c r="I110" s="13">
        <v>1.0</v>
      </c>
      <c r="J110" s="12">
        <v>141.0</v>
      </c>
      <c r="K110" s="12">
        <v>35.0</v>
      </c>
      <c r="L110" s="14">
        <v>0.25</v>
      </c>
      <c r="M110" s="12">
        <v>27.0</v>
      </c>
      <c r="N110" s="14">
        <v>0.19</v>
      </c>
      <c r="O110" s="12">
        <v>44.0</v>
      </c>
      <c r="P110" s="14">
        <v>0.31</v>
      </c>
      <c r="Q110" s="12">
        <v>32.0</v>
      </c>
      <c r="R110" s="14">
        <v>0.23</v>
      </c>
      <c r="S110" s="12">
        <v>3.0</v>
      </c>
      <c r="T110" s="14">
        <v>0.02</v>
      </c>
      <c r="U110" s="12">
        <v>0.0</v>
      </c>
      <c r="V110" s="14">
        <v>0.0</v>
      </c>
      <c r="W110" s="12">
        <v>99.0</v>
      </c>
      <c r="X110" s="12">
        <v>43.0</v>
      </c>
      <c r="Y110" s="15">
        <v>0.43</v>
      </c>
      <c r="Z110" s="12">
        <v>141.0</v>
      </c>
      <c r="AA110" s="12">
        <v>22.0</v>
      </c>
      <c r="AB110" s="16">
        <v>0.16</v>
      </c>
    </row>
    <row r="111" ht="15.75" customHeight="1">
      <c r="A111" s="9">
        <v>3480000.0</v>
      </c>
      <c r="B111" s="9" t="s">
        <v>81</v>
      </c>
      <c r="C111" s="9">
        <v>3480052.0</v>
      </c>
      <c r="D111" s="9" t="s">
        <v>83</v>
      </c>
      <c r="E111" s="10">
        <v>44355.0</v>
      </c>
      <c r="F111" s="11" t="s">
        <v>30</v>
      </c>
      <c r="G111" s="12">
        <v>29.0</v>
      </c>
      <c r="H111" s="12">
        <v>28.0</v>
      </c>
      <c r="I111" s="13">
        <v>0.97</v>
      </c>
      <c r="J111" s="12">
        <v>28.0</v>
      </c>
      <c r="K111" s="12">
        <v>13.0</v>
      </c>
      <c r="L111" s="14">
        <v>0.46</v>
      </c>
      <c r="M111" s="12">
        <v>7.0</v>
      </c>
      <c r="N111" s="14">
        <v>0.25</v>
      </c>
      <c r="O111" s="12">
        <v>7.0</v>
      </c>
      <c r="P111" s="14">
        <v>0.25</v>
      </c>
      <c r="Q111" s="12">
        <v>1.0</v>
      </c>
      <c r="R111" s="14">
        <v>0.04</v>
      </c>
      <c r="S111" s="12">
        <v>0.0</v>
      </c>
      <c r="T111" s="14">
        <v>0.0</v>
      </c>
      <c r="U111" s="12">
        <v>0.0</v>
      </c>
      <c r="V111" s="14">
        <v>0.0</v>
      </c>
      <c r="W111" s="12">
        <v>19.0</v>
      </c>
      <c r="X111" s="12">
        <v>3.0</v>
      </c>
      <c r="Y111" s="15">
        <v>0.16</v>
      </c>
      <c r="Z111" s="12">
        <v>29.0</v>
      </c>
      <c r="AA111" s="12">
        <v>0.0</v>
      </c>
      <c r="AB111" s="16">
        <v>0.0</v>
      </c>
    </row>
    <row r="112" ht="15.75" customHeight="1">
      <c r="A112" s="9">
        <v>3480000.0</v>
      </c>
      <c r="B112" s="9" t="s">
        <v>81</v>
      </c>
      <c r="C112" s="9">
        <v>3480052.0</v>
      </c>
      <c r="D112" s="9" t="s">
        <v>83</v>
      </c>
      <c r="E112" s="11" t="s">
        <v>30</v>
      </c>
      <c r="F112" s="11" t="s">
        <v>30</v>
      </c>
      <c r="G112" s="12">
        <v>293.0</v>
      </c>
      <c r="H112" s="12">
        <v>292.0</v>
      </c>
      <c r="I112" s="13">
        <v>1.0</v>
      </c>
      <c r="J112" s="12">
        <v>292.0</v>
      </c>
      <c r="K112" s="12">
        <v>88.0</v>
      </c>
      <c r="L112" s="14">
        <v>0.3</v>
      </c>
      <c r="M112" s="12">
        <v>73.0</v>
      </c>
      <c r="N112" s="14">
        <v>0.25</v>
      </c>
      <c r="O112" s="12">
        <v>89.0</v>
      </c>
      <c r="P112" s="14">
        <v>0.3</v>
      </c>
      <c r="Q112" s="12">
        <v>39.0</v>
      </c>
      <c r="R112" s="14">
        <v>0.13</v>
      </c>
      <c r="S112" s="12">
        <v>3.0</v>
      </c>
      <c r="T112" s="14">
        <v>0.01</v>
      </c>
      <c r="U112" s="12">
        <v>0.0</v>
      </c>
      <c r="V112" s="14">
        <v>0.0</v>
      </c>
      <c r="W112" s="12">
        <v>184.0</v>
      </c>
      <c r="X112" s="12">
        <v>80.0</v>
      </c>
      <c r="Y112" s="15">
        <v>0.43</v>
      </c>
      <c r="Z112" s="12">
        <v>293.0</v>
      </c>
      <c r="AA112" s="12">
        <v>22.0</v>
      </c>
      <c r="AB112" s="16">
        <v>0.08</v>
      </c>
    </row>
    <row r="113" ht="15.75" customHeight="1">
      <c r="A113" s="9">
        <v>3480000.0</v>
      </c>
      <c r="B113" s="9" t="s">
        <v>81</v>
      </c>
      <c r="C113" s="9">
        <v>3480220.0</v>
      </c>
      <c r="D113" s="9" t="s">
        <v>84</v>
      </c>
      <c r="E113" s="11" t="s">
        <v>33</v>
      </c>
      <c r="F113" s="11" t="s">
        <v>30</v>
      </c>
      <c r="G113" s="12">
        <v>27.0</v>
      </c>
      <c r="H113" s="12">
        <v>26.0</v>
      </c>
      <c r="I113" s="13">
        <v>0.96</v>
      </c>
      <c r="J113" s="12">
        <v>26.0</v>
      </c>
      <c r="K113" s="12">
        <v>14.0</v>
      </c>
      <c r="L113" s="14">
        <v>0.54</v>
      </c>
      <c r="M113" s="12">
        <v>5.0</v>
      </c>
      <c r="N113" s="14">
        <v>0.19</v>
      </c>
      <c r="O113" s="12">
        <v>2.0</v>
      </c>
      <c r="P113" s="14">
        <v>0.08</v>
      </c>
      <c r="Q113" s="12">
        <v>5.0</v>
      </c>
      <c r="R113" s="14">
        <v>0.19</v>
      </c>
      <c r="S113" s="12">
        <v>0.0</v>
      </c>
      <c r="T113" s="14">
        <v>0.0</v>
      </c>
      <c r="U113" s="12">
        <v>0.0</v>
      </c>
      <c r="V113" s="14">
        <v>0.0</v>
      </c>
      <c r="W113" s="9"/>
      <c r="X113" s="9"/>
      <c r="Y113" s="17"/>
      <c r="Z113" s="12">
        <v>27.0</v>
      </c>
      <c r="AA113" s="12">
        <v>2.0</v>
      </c>
      <c r="AB113" s="16">
        <v>0.07</v>
      </c>
    </row>
    <row r="114" ht="15.75" customHeight="1">
      <c r="A114" s="9">
        <v>3480000.0</v>
      </c>
      <c r="B114" s="9" t="s">
        <v>81</v>
      </c>
      <c r="C114" s="9">
        <v>3480220.0</v>
      </c>
      <c r="D114" s="9" t="s">
        <v>84</v>
      </c>
      <c r="E114" s="10">
        <v>44198.0</v>
      </c>
      <c r="F114" s="11" t="s">
        <v>30</v>
      </c>
      <c r="G114" s="12">
        <v>58.0</v>
      </c>
      <c r="H114" s="12">
        <v>58.0</v>
      </c>
      <c r="I114" s="13">
        <v>1.0</v>
      </c>
      <c r="J114" s="12">
        <v>54.0</v>
      </c>
      <c r="K114" s="12">
        <v>2.0</v>
      </c>
      <c r="L114" s="14">
        <v>0.04</v>
      </c>
      <c r="M114" s="12">
        <v>7.0</v>
      </c>
      <c r="N114" s="14">
        <v>0.13</v>
      </c>
      <c r="O114" s="12">
        <v>27.0</v>
      </c>
      <c r="P114" s="14">
        <v>0.5</v>
      </c>
      <c r="Q114" s="12">
        <v>15.0</v>
      </c>
      <c r="R114" s="14">
        <v>0.28</v>
      </c>
      <c r="S114" s="12">
        <v>3.0</v>
      </c>
      <c r="T114" s="14">
        <v>0.06</v>
      </c>
      <c r="U114" s="12">
        <v>0.0</v>
      </c>
      <c r="V114" s="14">
        <v>0.0</v>
      </c>
      <c r="W114" s="12">
        <v>53.0</v>
      </c>
      <c r="X114" s="12">
        <v>38.0</v>
      </c>
      <c r="Y114" s="15">
        <v>0.72</v>
      </c>
      <c r="Z114" s="12">
        <v>58.0</v>
      </c>
      <c r="AA114" s="12">
        <v>12.0</v>
      </c>
      <c r="AB114" s="16">
        <v>0.21</v>
      </c>
    </row>
    <row r="115" ht="15.75" customHeight="1">
      <c r="A115" s="9">
        <v>3480000.0</v>
      </c>
      <c r="B115" s="9" t="s">
        <v>81</v>
      </c>
      <c r="C115" s="9">
        <v>3480220.0</v>
      </c>
      <c r="D115" s="9" t="s">
        <v>84</v>
      </c>
      <c r="E115" s="10">
        <v>44260.0</v>
      </c>
      <c r="F115" s="11" t="s">
        <v>30</v>
      </c>
      <c r="G115" s="12">
        <v>54.0</v>
      </c>
      <c r="H115" s="12">
        <v>54.0</v>
      </c>
      <c r="I115" s="13">
        <v>1.0</v>
      </c>
      <c r="J115" s="12">
        <v>41.0</v>
      </c>
      <c r="K115" s="12">
        <v>1.0</v>
      </c>
      <c r="L115" s="14">
        <v>0.02</v>
      </c>
      <c r="M115" s="12">
        <v>4.0</v>
      </c>
      <c r="N115" s="14">
        <v>0.1</v>
      </c>
      <c r="O115" s="12">
        <v>12.0</v>
      </c>
      <c r="P115" s="14">
        <v>0.29</v>
      </c>
      <c r="Q115" s="12">
        <v>20.0</v>
      </c>
      <c r="R115" s="14">
        <v>0.49</v>
      </c>
      <c r="S115" s="12">
        <v>4.0</v>
      </c>
      <c r="T115" s="14">
        <v>0.1</v>
      </c>
      <c r="U115" s="12">
        <v>0.0</v>
      </c>
      <c r="V115" s="14">
        <v>0.0</v>
      </c>
      <c r="W115" s="12">
        <v>48.0</v>
      </c>
      <c r="X115" s="12">
        <v>28.0</v>
      </c>
      <c r="Y115" s="15">
        <v>0.58</v>
      </c>
      <c r="Z115" s="12">
        <v>54.0</v>
      </c>
      <c r="AA115" s="12">
        <v>22.0</v>
      </c>
      <c r="AB115" s="16">
        <v>0.41</v>
      </c>
    </row>
    <row r="116" ht="15.75" customHeight="1">
      <c r="A116" s="9">
        <v>3480000.0</v>
      </c>
      <c r="B116" s="9" t="s">
        <v>81</v>
      </c>
      <c r="C116" s="9">
        <v>3480220.0</v>
      </c>
      <c r="D116" s="9" t="s">
        <v>84</v>
      </c>
      <c r="E116" s="11" t="s">
        <v>30</v>
      </c>
      <c r="F116" s="11" t="s">
        <v>30</v>
      </c>
      <c r="G116" s="12">
        <v>141.0</v>
      </c>
      <c r="H116" s="12">
        <v>140.0</v>
      </c>
      <c r="I116" s="13">
        <v>0.99</v>
      </c>
      <c r="J116" s="12">
        <v>123.0</v>
      </c>
      <c r="K116" s="12">
        <v>17.0</v>
      </c>
      <c r="L116" s="14">
        <v>0.14</v>
      </c>
      <c r="M116" s="12">
        <v>16.0</v>
      </c>
      <c r="N116" s="14">
        <v>0.13</v>
      </c>
      <c r="O116" s="12">
        <v>43.0</v>
      </c>
      <c r="P116" s="14">
        <v>0.35</v>
      </c>
      <c r="Q116" s="12">
        <v>40.0</v>
      </c>
      <c r="R116" s="14">
        <v>0.33</v>
      </c>
      <c r="S116" s="12">
        <v>7.0</v>
      </c>
      <c r="T116" s="14">
        <v>0.06</v>
      </c>
      <c r="U116" s="12">
        <v>0.0</v>
      </c>
      <c r="V116" s="14">
        <v>0.0</v>
      </c>
      <c r="W116" s="12">
        <v>103.0</v>
      </c>
      <c r="X116" s="12">
        <v>67.0</v>
      </c>
      <c r="Y116" s="15">
        <v>0.65</v>
      </c>
      <c r="Z116" s="12">
        <v>141.0</v>
      </c>
      <c r="AA116" s="12">
        <v>36.0</v>
      </c>
      <c r="AB116" s="16">
        <v>0.26</v>
      </c>
    </row>
    <row r="117" ht="15.75" customHeight="1">
      <c r="A117" s="9">
        <v>3480000.0</v>
      </c>
      <c r="B117" s="9" t="s">
        <v>81</v>
      </c>
      <c r="C117" s="9">
        <v>3480405.0</v>
      </c>
      <c r="D117" s="9" t="s">
        <v>85</v>
      </c>
      <c r="E117" s="10">
        <v>44355.0</v>
      </c>
      <c r="F117" s="11" t="s">
        <v>30</v>
      </c>
      <c r="G117" s="12">
        <v>125.0</v>
      </c>
      <c r="H117" s="12">
        <v>123.0</v>
      </c>
      <c r="I117" s="13">
        <v>0.98</v>
      </c>
      <c r="J117" s="12">
        <v>120.0</v>
      </c>
      <c r="K117" s="12">
        <v>20.0</v>
      </c>
      <c r="L117" s="14">
        <v>0.17</v>
      </c>
      <c r="M117" s="12">
        <v>31.0</v>
      </c>
      <c r="N117" s="14">
        <v>0.26</v>
      </c>
      <c r="O117" s="12">
        <v>51.0</v>
      </c>
      <c r="P117" s="14">
        <v>0.43</v>
      </c>
      <c r="Q117" s="12">
        <v>17.0</v>
      </c>
      <c r="R117" s="14">
        <v>0.14</v>
      </c>
      <c r="S117" s="12">
        <v>1.0</v>
      </c>
      <c r="T117" s="14">
        <v>0.01</v>
      </c>
      <c r="U117" s="12">
        <v>0.0</v>
      </c>
      <c r="V117" s="14">
        <v>0.0</v>
      </c>
      <c r="W117" s="12">
        <v>111.0</v>
      </c>
      <c r="X117" s="12">
        <v>18.0</v>
      </c>
      <c r="Y117" s="15">
        <v>0.16</v>
      </c>
      <c r="Z117" s="12">
        <v>125.0</v>
      </c>
      <c r="AA117" s="12">
        <v>10.0</v>
      </c>
      <c r="AB117" s="16">
        <v>0.08</v>
      </c>
    </row>
    <row r="118" ht="15.75" customHeight="1">
      <c r="A118" s="9">
        <v>3480000.0</v>
      </c>
      <c r="B118" s="9" t="s">
        <v>81</v>
      </c>
      <c r="C118" s="9">
        <v>3480405.0</v>
      </c>
      <c r="D118" s="9" t="s">
        <v>85</v>
      </c>
      <c r="E118" s="11" t="s">
        <v>30</v>
      </c>
      <c r="F118" s="11" t="s">
        <v>30</v>
      </c>
      <c r="G118" s="12">
        <v>125.0</v>
      </c>
      <c r="H118" s="12">
        <v>123.0</v>
      </c>
      <c r="I118" s="13">
        <v>0.98</v>
      </c>
      <c r="J118" s="12">
        <v>120.0</v>
      </c>
      <c r="K118" s="12">
        <v>20.0</v>
      </c>
      <c r="L118" s="14">
        <v>0.17</v>
      </c>
      <c r="M118" s="12">
        <v>31.0</v>
      </c>
      <c r="N118" s="14">
        <v>0.26</v>
      </c>
      <c r="O118" s="12">
        <v>51.0</v>
      </c>
      <c r="P118" s="14">
        <v>0.43</v>
      </c>
      <c r="Q118" s="12">
        <v>17.0</v>
      </c>
      <c r="R118" s="14">
        <v>0.14</v>
      </c>
      <c r="S118" s="12">
        <v>1.0</v>
      </c>
      <c r="T118" s="14">
        <v>0.01</v>
      </c>
      <c r="U118" s="12">
        <v>0.0</v>
      </c>
      <c r="V118" s="14">
        <v>0.0</v>
      </c>
      <c r="W118" s="12">
        <v>111.0</v>
      </c>
      <c r="X118" s="12">
        <v>18.0</v>
      </c>
      <c r="Y118" s="15">
        <v>0.16</v>
      </c>
      <c r="Z118" s="12">
        <v>125.0</v>
      </c>
      <c r="AA118" s="12">
        <v>10.0</v>
      </c>
      <c r="AB118" s="16">
        <v>0.08</v>
      </c>
    </row>
    <row r="119" ht="15.75" customHeight="1">
      <c r="A119" s="9">
        <v>4970000.0</v>
      </c>
      <c r="B119" s="9" t="s">
        <v>86</v>
      </c>
      <c r="C119" s="9">
        <v>4970205.0</v>
      </c>
      <c r="D119" s="9" t="s">
        <v>87</v>
      </c>
      <c r="E119" s="11" t="s">
        <v>30</v>
      </c>
      <c r="F119" s="11" t="s">
        <v>30</v>
      </c>
      <c r="G119" s="12">
        <v>15.0</v>
      </c>
      <c r="H119" s="12">
        <v>14.0</v>
      </c>
      <c r="I119" s="13">
        <v>0.93</v>
      </c>
      <c r="J119" s="12">
        <v>14.0</v>
      </c>
      <c r="K119" s="12">
        <v>1.0</v>
      </c>
      <c r="L119" s="14">
        <v>0.07</v>
      </c>
      <c r="M119" s="12">
        <v>1.0</v>
      </c>
      <c r="N119" s="14">
        <v>0.07</v>
      </c>
      <c r="O119" s="12">
        <v>7.0</v>
      </c>
      <c r="P119" s="14">
        <v>0.5</v>
      </c>
      <c r="Q119" s="12">
        <v>5.0</v>
      </c>
      <c r="R119" s="14">
        <v>0.36</v>
      </c>
      <c r="S119" s="12">
        <v>0.0</v>
      </c>
      <c r="T119" s="14">
        <v>0.0</v>
      </c>
      <c r="U119" s="12">
        <v>0.0</v>
      </c>
      <c r="V119" s="14">
        <v>0.0</v>
      </c>
      <c r="W119" s="12">
        <v>12.0</v>
      </c>
      <c r="X119" s="12">
        <v>9.0</v>
      </c>
      <c r="Y119" s="15">
        <v>0.75</v>
      </c>
      <c r="Z119" s="12">
        <v>15.0</v>
      </c>
      <c r="AA119" s="12">
        <v>4.0</v>
      </c>
      <c r="AB119" s="16">
        <v>0.27</v>
      </c>
    </row>
    <row r="120" ht="15.75" customHeight="1">
      <c r="A120" s="9">
        <v>7100000.0</v>
      </c>
      <c r="B120" s="9" t="s">
        <v>88</v>
      </c>
      <c r="C120" s="9">
        <v>7100001.0</v>
      </c>
      <c r="D120" s="9" t="s">
        <v>89</v>
      </c>
      <c r="E120" s="10">
        <v>44198.0</v>
      </c>
      <c r="F120" s="11" t="s">
        <v>30</v>
      </c>
      <c r="G120" s="12">
        <v>10.0</v>
      </c>
      <c r="H120" s="12">
        <v>10.0</v>
      </c>
      <c r="I120" s="13">
        <v>1.0</v>
      </c>
      <c r="J120" s="12">
        <v>10.0</v>
      </c>
      <c r="K120" s="12">
        <v>0.0</v>
      </c>
      <c r="L120" s="14">
        <v>0.0</v>
      </c>
      <c r="M120" s="12">
        <v>1.0</v>
      </c>
      <c r="N120" s="14">
        <v>0.1</v>
      </c>
      <c r="O120" s="12">
        <v>4.0</v>
      </c>
      <c r="P120" s="14">
        <v>0.4</v>
      </c>
      <c r="Q120" s="12">
        <v>4.0</v>
      </c>
      <c r="R120" s="14">
        <v>0.4</v>
      </c>
      <c r="S120" s="12">
        <v>1.0</v>
      </c>
      <c r="T120" s="14">
        <v>0.1</v>
      </c>
      <c r="U120" s="12">
        <v>0.0</v>
      </c>
      <c r="V120" s="14">
        <v>0.0</v>
      </c>
      <c r="W120" s="12">
        <v>10.0</v>
      </c>
      <c r="X120" s="12">
        <v>9.0</v>
      </c>
      <c r="Y120" s="15">
        <v>0.9</v>
      </c>
      <c r="Z120" s="12">
        <v>10.0</v>
      </c>
      <c r="AA120" s="12">
        <v>4.0</v>
      </c>
      <c r="AB120" s="16">
        <v>0.4</v>
      </c>
    </row>
    <row r="121" ht="15.75" customHeight="1">
      <c r="A121" s="9">
        <v>7100000.0</v>
      </c>
      <c r="B121" s="9" t="s">
        <v>88</v>
      </c>
      <c r="C121" s="9">
        <v>7100001.0</v>
      </c>
      <c r="D121" s="9" t="s">
        <v>89</v>
      </c>
      <c r="E121" s="11" t="s">
        <v>30</v>
      </c>
      <c r="F121" s="11" t="s">
        <v>30</v>
      </c>
      <c r="G121" s="12">
        <v>15.0</v>
      </c>
      <c r="H121" s="12">
        <v>15.0</v>
      </c>
      <c r="I121" s="13">
        <v>1.0</v>
      </c>
      <c r="J121" s="12">
        <v>15.0</v>
      </c>
      <c r="K121" s="12">
        <v>2.0</v>
      </c>
      <c r="L121" s="14">
        <v>0.13</v>
      </c>
      <c r="M121" s="12">
        <v>2.0</v>
      </c>
      <c r="N121" s="14">
        <v>0.13</v>
      </c>
      <c r="O121" s="12">
        <v>5.0</v>
      </c>
      <c r="P121" s="14">
        <v>0.33</v>
      </c>
      <c r="Q121" s="12">
        <v>4.0</v>
      </c>
      <c r="R121" s="14">
        <v>0.27</v>
      </c>
      <c r="S121" s="12">
        <v>2.0</v>
      </c>
      <c r="T121" s="14">
        <v>0.13</v>
      </c>
      <c r="U121" s="12">
        <v>0.0</v>
      </c>
      <c r="V121" s="14">
        <v>0.0</v>
      </c>
      <c r="W121" s="12">
        <v>11.0</v>
      </c>
      <c r="X121" s="12">
        <v>10.0</v>
      </c>
      <c r="Y121" s="15">
        <v>0.91</v>
      </c>
      <c r="Z121" s="12">
        <v>15.0</v>
      </c>
      <c r="AA121" s="12">
        <v>5.0</v>
      </c>
      <c r="AB121" s="16">
        <v>0.33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B$12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42.86"/>
    <col customWidth="1" min="6" max="6" width="18.43"/>
    <col customWidth="1" min="8" max="8" width="22.86"/>
    <col customWidth="1" min="9" max="9" width="16.71"/>
    <col customWidth="1" min="10" max="10" width="21.14"/>
    <col customWidth="1" min="11" max="11" width="9.57"/>
    <col customWidth="1" min="12" max="12" width="10.57"/>
    <col customWidth="1" min="13" max="13" width="9.14"/>
    <col customWidth="1" min="14" max="14" width="9.43"/>
    <col customWidth="1" min="15" max="15" width="8.71"/>
    <col customWidth="1" min="16" max="16" width="9.71"/>
    <col customWidth="1" min="17" max="17" width="10.43"/>
    <col customWidth="1" min="18" max="18" width="10.29"/>
    <col customWidth="1" min="19" max="19" width="9.71"/>
    <col customWidth="1" min="20" max="20" width="10.29"/>
    <col customWidth="1" min="21" max="21" width="9.57"/>
    <col customWidth="1" min="22" max="22" width="9.71"/>
    <col customWidth="1" min="23" max="23" width="20.14"/>
    <col customWidth="1" min="24" max="24" width="17.0"/>
    <col customWidth="1" min="25" max="25" width="17.57"/>
    <col customWidth="1" min="26" max="26" width="29.86"/>
    <col customWidth="1" min="27" max="27" width="21.86"/>
    <col customWidth="1" min="28" max="28" width="20.29"/>
  </cols>
  <sheetData>
    <row r="3">
      <c r="B3" s="19" t="s">
        <v>4</v>
      </c>
      <c r="C3" s="19" t="s">
        <v>33</v>
      </c>
    </row>
    <row r="6">
      <c r="A6" s="1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3" t="s">
        <v>8</v>
      </c>
      <c r="J6" s="3" t="s">
        <v>9</v>
      </c>
      <c r="K6" s="2" t="s">
        <v>10</v>
      </c>
      <c r="L6" s="4" t="s">
        <v>11</v>
      </c>
      <c r="M6" s="2" t="s">
        <v>12</v>
      </c>
      <c r="N6" s="4" t="s">
        <v>13</v>
      </c>
      <c r="O6" s="2" t="s">
        <v>14</v>
      </c>
      <c r="P6" s="4" t="s">
        <v>15</v>
      </c>
      <c r="Q6" s="2" t="s">
        <v>16</v>
      </c>
      <c r="R6" s="4" t="s">
        <v>17</v>
      </c>
      <c r="S6" s="2" t="s">
        <v>18</v>
      </c>
      <c r="T6" s="4" t="s">
        <v>19</v>
      </c>
      <c r="U6" s="2" t="s">
        <v>20</v>
      </c>
      <c r="V6" s="4" t="s">
        <v>21</v>
      </c>
      <c r="W6" s="2" t="s">
        <v>22</v>
      </c>
      <c r="X6" s="5" t="s">
        <v>23</v>
      </c>
      <c r="Y6" s="6" t="s">
        <v>24</v>
      </c>
      <c r="Z6" s="5" t="s">
        <v>25</v>
      </c>
      <c r="AA6" s="7" t="s">
        <v>26</v>
      </c>
      <c r="AB6" s="8" t="s">
        <v>27</v>
      </c>
    </row>
    <row r="7">
      <c r="A7" s="20">
        <f>IFERROR(__xludf.DUMMYFUNCTION("FILTER('ACCESS DLTB'!A2:AB3061,'ACCESS DLTB'!E2:E3061=C3)"),350000.0)</f>
        <v>350000</v>
      </c>
      <c r="B7" s="20" t="str">
        <f>IFERROR(__xludf.DUMMYFUNCTION("""COMPUTED_VALUE"""),"Boston")</f>
        <v>Boston</v>
      </c>
      <c r="C7" s="20">
        <f>IFERROR(__xludf.DUMMYFUNCTION("""COMPUTED_VALUE"""),350016.0)</f>
        <v>350016</v>
      </c>
      <c r="D7" s="20" t="str">
        <f>IFERROR(__xludf.DUMMYFUNCTION("""COMPUTED_VALUE"""),"Mattahunt Elementary School")</f>
        <v>Mattahunt Elementary School</v>
      </c>
      <c r="E7" s="20" t="str">
        <f>IFERROR(__xludf.DUMMYFUNCTION("""COMPUTED_VALUE"""),"K")</f>
        <v>K</v>
      </c>
      <c r="F7" s="20" t="str">
        <f>IFERROR(__xludf.DUMMYFUNCTION("""COMPUTED_VALUE"""),"All")</f>
        <v>All</v>
      </c>
      <c r="G7" s="20">
        <f>IFERROR(__xludf.DUMMYFUNCTION("""COMPUTED_VALUE"""),42.0)</f>
        <v>42</v>
      </c>
      <c r="H7" s="20">
        <f>IFERROR(__xludf.DUMMYFUNCTION("""COMPUTED_VALUE"""),42.0)</f>
        <v>42</v>
      </c>
      <c r="I7" s="21">
        <f>IFERROR(__xludf.DUMMYFUNCTION("""COMPUTED_VALUE"""),1.0)</f>
        <v>1</v>
      </c>
      <c r="J7" s="20">
        <f>IFERROR(__xludf.DUMMYFUNCTION("""COMPUTED_VALUE"""),42.0)</f>
        <v>42</v>
      </c>
      <c r="K7" s="20">
        <f>IFERROR(__xludf.DUMMYFUNCTION("""COMPUTED_VALUE"""),26.0)</f>
        <v>26</v>
      </c>
      <c r="L7" s="21">
        <f>IFERROR(__xludf.DUMMYFUNCTION("""COMPUTED_VALUE"""),0.62)</f>
        <v>0.62</v>
      </c>
      <c r="M7" s="20">
        <f>IFERROR(__xludf.DUMMYFUNCTION("""COMPUTED_VALUE"""),7.0)</f>
        <v>7</v>
      </c>
      <c r="N7" s="21">
        <f>IFERROR(__xludf.DUMMYFUNCTION("""COMPUTED_VALUE"""),0.17)</f>
        <v>0.17</v>
      </c>
      <c r="O7" s="20">
        <f>IFERROR(__xludf.DUMMYFUNCTION("""COMPUTED_VALUE"""),6.0)</f>
        <v>6</v>
      </c>
      <c r="P7" s="21">
        <f>IFERROR(__xludf.DUMMYFUNCTION("""COMPUTED_VALUE"""),0.14)</f>
        <v>0.14</v>
      </c>
      <c r="Q7" s="20">
        <f>IFERROR(__xludf.DUMMYFUNCTION("""COMPUTED_VALUE"""),2.0)</f>
        <v>2</v>
      </c>
      <c r="R7" s="21">
        <f>IFERROR(__xludf.DUMMYFUNCTION("""COMPUTED_VALUE"""),0.05)</f>
        <v>0.05</v>
      </c>
      <c r="S7" s="20">
        <f>IFERROR(__xludf.DUMMYFUNCTION("""COMPUTED_VALUE"""),1.0)</f>
        <v>1</v>
      </c>
      <c r="T7" s="21">
        <f>IFERROR(__xludf.DUMMYFUNCTION("""COMPUTED_VALUE"""),0.02)</f>
        <v>0.02</v>
      </c>
      <c r="U7" s="20">
        <f>IFERROR(__xludf.DUMMYFUNCTION("""COMPUTED_VALUE"""),0.0)</f>
        <v>0</v>
      </c>
      <c r="V7" s="21">
        <f>IFERROR(__xludf.DUMMYFUNCTION("""COMPUTED_VALUE"""),0.0)</f>
        <v>0</v>
      </c>
      <c r="W7" s="20"/>
      <c r="X7" s="20"/>
      <c r="Y7" s="20"/>
      <c r="Z7" s="20">
        <f>IFERROR(__xludf.DUMMYFUNCTION("""COMPUTED_VALUE"""),42.0)</f>
        <v>42</v>
      </c>
      <c r="AA7" s="20">
        <f>IFERROR(__xludf.DUMMYFUNCTION("""COMPUTED_VALUE"""),1.0)</f>
        <v>1</v>
      </c>
      <c r="AB7" s="21">
        <f>IFERROR(__xludf.DUMMYFUNCTION("""COMPUTED_VALUE"""),0.02)</f>
        <v>0.02</v>
      </c>
    </row>
    <row r="8">
      <c r="A8" s="20">
        <f>IFERROR(__xludf.DUMMYFUNCTION("""COMPUTED_VALUE"""),350000.0)</f>
        <v>350000</v>
      </c>
      <c r="B8" s="20" t="str">
        <f>IFERROR(__xludf.DUMMYFUNCTION("""COMPUTED_VALUE"""),"Boston")</f>
        <v>Boston</v>
      </c>
      <c r="C8" s="20">
        <f>IFERROR(__xludf.DUMMYFUNCTION("""COMPUTED_VALUE"""),350182.0)</f>
        <v>350182</v>
      </c>
      <c r="D8" s="20" t="str">
        <f>IFERROR(__xludf.DUMMYFUNCTION("""COMPUTED_VALUE"""),"Joseph J Hurley")</f>
        <v>Joseph J Hurley</v>
      </c>
      <c r="E8" s="20" t="str">
        <f>IFERROR(__xludf.DUMMYFUNCTION("""COMPUTED_VALUE"""),"K")</f>
        <v>K</v>
      </c>
      <c r="F8" s="20" t="str">
        <f>IFERROR(__xludf.DUMMYFUNCTION("""COMPUTED_VALUE"""),"All")</f>
        <v>All</v>
      </c>
      <c r="G8" s="20">
        <f>IFERROR(__xludf.DUMMYFUNCTION("""COMPUTED_VALUE"""),29.0)</f>
        <v>29</v>
      </c>
      <c r="H8" s="20">
        <f>IFERROR(__xludf.DUMMYFUNCTION("""COMPUTED_VALUE"""),28.0)</f>
        <v>28</v>
      </c>
      <c r="I8" s="21">
        <f>IFERROR(__xludf.DUMMYFUNCTION("""COMPUTED_VALUE"""),0.97)</f>
        <v>0.97</v>
      </c>
      <c r="J8" s="20">
        <f>IFERROR(__xludf.DUMMYFUNCTION("""COMPUTED_VALUE"""),28.0)</f>
        <v>28</v>
      </c>
      <c r="K8" s="20">
        <f>IFERROR(__xludf.DUMMYFUNCTION("""COMPUTED_VALUE"""),16.0)</f>
        <v>16</v>
      </c>
      <c r="L8" s="21">
        <f>IFERROR(__xludf.DUMMYFUNCTION("""COMPUTED_VALUE"""),0.57)</f>
        <v>0.57</v>
      </c>
      <c r="M8" s="20">
        <f>IFERROR(__xludf.DUMMYFUNCTION("""COMPUTED_VALUE"""),7.0)</f>
        <v>7</v>
      </c>
      <c r="N8" s="21">
        <f>IFERROR(__xludf.DUMMYFUNCTION("""COMPUTED_VALUE"""),0.25)</f>
        <v>0.25</v>
      </c>
      <c r="O8" s="20">
        <f>IFERROR(__xludf.DUMMYFUNCTION("""COMPUTED_VALUE"""),4.0)</f>
        <v>4</v>
      </c>
      <c r="P8" s="21">
        <f>IFERROR(__xludf.DUMMYFUNCTION("""COMPUTED_VALUE"""),0.14)</f>
        <v>0.14</v>
      </c>
      <c r="Q8" s="20">
        <f>IFERROR(__xludf.DUMMYFUNCTION("""COMPUTED_VALUE"""),1.0)</f>
        <v>1</v>
      </c>
      <c r="R8" s="21">
        <f>IFERROR(__xludf.DUMMYFUNCTION("""COMPUTED_VALUE"""),0.04)</f>
        <v>0.04</v>
      </c>
      <c r="S8" s="20">
        <f>IFERROR(__xludf.DUMMYFUNCTION("""COMPUTED_VALUE"""),0.0)</f>
        <v>0</v>
      </c>
      <c r="T8" s="21">
        <f>IFERROR(__xludf.DUMMYFUNCTION("""COMPUTED_VALUE"""),0.0)</f>
        <v>0</v>
      </c>
      <c r="U8" s="20">
        <f>IFERROR(__xludf.DUMMYFUNCTION("""COMPUTED_VALUE"""),0.0)</f>
        <v>0</v>
      </c>
      <c r="V8" s="21">
        <f>IFERROR(__xludf.DUMMYFUNCTION("""COMPUTED_VALUE"""),0.0)</f>
        <v>0</v>
      </c>
      <c r="W8" s="20"/>
      <c r="X8" s="20"/>
      <c r="Y8" s="20"/>
      <c r="Z8" s="20">
        <f>IFERROR(__xludf.DUMMYFUNCTION("""COMPUTED_VALUE"""),29.0)</f>
        <v>29</v>
      </c>
      <c r="AA8" s="20">
        <f>IFERROR(__xludf.DUMMYFUNCTION("""COMPUTED_VALUE"""),0.0)</f>
        <v>0</v>
      </c>
      <c r="AB8" s="21">
        <f>IFERROR(__xludf.DUMMYFUNCTION("""COMPUTED_VALUE"""),0.0)</f>
        <v>0</v>
      </c>
    </row>
    <row r="9">
      <c r="A9" s="20">
        <f>IFERROR(__xludf.DUMMYFUNCTION("""COMPUTED_VALUE"""),350000.0)</f>
        <v>350000</v>
      </c>
      <c r="B9" s="20" t="str">
        <f>IFERROR(__xludf.DUMMYFUNCTION("""COMPUTED_VALUE"""),"Boston")</f>
        <v>Boston</v>
      </c>
      <c r="C9" s="20">
        <f>IFERROR(__xludf.DUMMYFUNCTION("""COMPUTED_VALUE"""),350308.0)</f>
        <v>350308</v>
      </c>
      <c r="D9" s="20" t="str">
        <f>IFERROR(__xludf.DUMMYFUNCTION("""COMPUTED_VALUE"""),"Sarah Greenwood")</f>
        <v>Sarah Greenwood</v>
      </c>
      <c r="E9" s="20" t="str">
        <f>IFERROR(__xludf.DUMMYFUNCTION("""COMPUTED_VALUE"""),"K")</f>
        <v>K</v>
      </c>
      <c r="F9" s="20" t="str">
        <f>IFERROR(__xludf.DUMMYFUNCTION("""COMPUTED_VALUE"""),"All")</f>
        <v>All</v>
      </c>
      <c r="G9" s="20">
        <f>IFERROR(__xludf.DUMMYFUNCTION("""COMPUTED_VALUE"""),34.0)</f>
        <v>34</v>
      </c>
      <c r="H9" s="20">
        <f>IFERROR(__xludf.DUMMYFUNCTION("""COMPUTED_VALUE"""),34.0)</f>
        <v>34</v>
      </c>
      <c r="I9" s="21">
        <f>IFERROR(__xludf.DUMMYFUNCTION("""COMPUTED_VALUE"""),1.0)</f>
        <v>1</v>
      </c>
      <c r="J9" s="20">
        <f>IFERROR(__xludf.DUMMYFUNCTION("""COMPUTED_VALUE"""),34.0)</f>
        <v>34</v>
      </c>
      <c r="K9" s="20">
        <f>IFERROR(__xludf.DUMMYFUNCTION("""COMPUTED_VALUE"""),18.0)</f>
        <v>18</v>
      </c>
      <c r="L9" s="21">
        <f>IFERROR(__xludf.DUMMYFUNCTION("""COMPUTED_VALUE"""),0.53)</f>
        <v>0.53</v>
      </c>
      <c r="M9" s="20">
        <f>IFERROR(__xludf.DUMMYFUNCTION("""COMPUTED_VALUE"""),12.0)</f>
        <v>12</v>
      </c>
      <c r="N9" s="21">
        <f>IFERROR(__xludf.DUMMYFUNCTION("""COMPUTED_VALUE"""),0.35)</f>
        <v>0.35</v>
      </c>
      <c r="O9" s="20">
        <f>IFERROR(__xludf.DUMMYFUNCTION("""COMPUTED_VALUE"""),2.0)</f>
        <v>2</v>
      </c>
      <c r="P9" s="21">
        <f>IFERROR(__xludf.DUMMYFUNCTION("""COMPUTED_VALUE"""),0.06)</f>
        <v>0.06</v>
      </c>
      <c r="Q9" s="20">
        <f>IFERROR(__xludf.DUMMYFUNCTION("""COMPUTED_VALUE"""),2.0)</f>
        <v>2</v>
      </c>
      <c r="R9" s="21">
        <f>IFERROR(__xludf.DUMMYFUNCTION("""COMPUTED_VALUE"""),0.06)</f>
        <v>0.06</v>
      </c>
      <c r="S9" s="20">
        <f>IFERROR(__xludf.DUMMYFUNCTION("""COMPUTED_VALUE"""),0.0)</f>
        <v>0</v>
      </c>
      <c r="T9" s="21">
        <f>IFERROR(__xludf.DUMMYFUNCTION("""COMPUTED_VALUE"""),0.0)</f>
        <v>0</v>
      </c>
      <c r="U9" s="20">
        <f>IFERROR(__xludf.DUMMYFUNCTION("""COMPUTED_VALUE"""),0.0)</f>
        <v>0</v>
      </c>
      <c r="V9" s="21">
        <f>IFERROR(__xludf.DUMMYFUNCTION("""COMPUTED_VALUE"""),0.0)</f>
        <v>0</v>
      </c>
      <c r="W9" s="20"/>
      <c r="X9" s="20"/>
      <c r="Y9" s="20"/>
      <c r="Z9" s="20">
        <f>IFERROR(__xludf.DUMMYFUNCTION("""COMPUTED_VALUE"""),34.0)</f>
        <v>34</v>
      </c>
      <c r="AA9" s="20">
        <f>IFERROR(__xludf.DUMMYFUNCTION("""COMPUTED_VALUE"""),0.0)</f>
        <v>0</v>
      </c>
      <c r="AB9" s="21">
        <f>IFERROR(__xludf.DUMMYFUNCTION("""COMPUTED_VALUE"""),0.0)</f>
        <v>0</v>
      </c>
    </row>
    <row r="10">
      <c r="A10" s="20">
        <f>IFERROR(__xludf.DUMMYFUNCTION("""COMPUTED_VALUE"""),350000.0)</f>
        <v>350000</v>
      </c>
      <c r="B10" s="20" t="str">
        <f>IFERROR(__xludf.DUMMYFUNCTION("""COMPUTED_VALUE"""),"Boston")</f>
        <v>Boston</v>
      </c>
      <c r="C10" s="20">
        <f>IFERROR(__xludf.DUMMYFUNCTION("""COMPUTED_VALUE"""),350656.0)</f>
        <v>350656</v>
      </c>
      <c r="D10" s="20" t="str">
        <f>IFERROR(__xludf.DUMMYFUNCTION("""COMPUTED_VALUE"""),"Mario Umana Academy")</f>
        <v>Mario Umana Academy</v>
      </c>
      <c r="E10" s="20" t="str">
        <f>IFERROR(__xludf.DUMMYFUNCTION("""COMPUTED_VALUE"""),"K")</f>
        <v>K</v>
      </c>
      <c r="F10" s="20" t="str">
        <f>IFERROR(__xludf.DUMMYFUNCTION("""COMPUTED_VALUE"""),"All")</f>
        <v>All</v>
      </c>
      <c r="G10" s="20">
        <f>IFERROR(__xludf.DUMMYFUNCTION("""COMPUTED_VALUE"""),36.0)</f>
        <v>36</v>
      </c>
      <c r="H10" s="20">
        <f>IFERROR(__xludf.DUMMYFUNCTION("""COMPUTED_VALUE"""),36.0)</f>
        <v>36</v>
      </c>
      <c r="I10" s="21">
        <f>IFERROR(__xludf.DUMMYFUNCTION("""COMPUTED_VALUE"""),1.0)</f>
        <v>1</v>
      </c>
      <c r="J10" s="20">
        <f>IFERROR(__xludf.DUMMYFUNCTION("""COMPUTED_VALUE"""),36.0)</f>
        <v>36</v>
      </c>
      <c r="K10" s="20">
        <f>IFERROR(__xludf.DUMMYFUNCTION("""COMPUTED_VALUE"""),26.0)</f>
        <v>26</v>
      </c>
      <c r="L10" s="21">
        <f>IFERROR(__xludf.DUMMYFUNCTION("""COMPUTED_VALUE"""),0.72)</f>
        <v>0.72</v>
      </c>
      <c r="M10" s="20">
        <f>IFERROR(__xludf.DUMMYFUNCTION("""COMPUTED_VALUE"""),6.0)</f>
        <v>6</v>
      </c>
      <c r="N10" s="21">
        <f>IFERROR(__xludf.DUMMYFUNCTION("""COMPUTED_VALUE"""),0.17)</f>
        <v>0.17</v>
      </c>
      <c r="O10" s="20">
        <f>IFERROR(__xludf.DUMMYFUNCTION("""COMPUTED_VALUE"""),3.0)</f>
        <v>3</v>
      </c>
      <c r="P10" s="21">
        <f>IFERROR(__xludf.DUMMYFUNCTION("""COMPUTED_VALUE"""),0.08)</f>
        <v>0.08</v>
      </c>
      <c r="Q10" s="20">
        <f>IFERROR(__xludf.DUMMYFUNCTION("""COMPUTED_VALUE"""),1.0)</f>
        <v>1</v>
      </c>
      <c r="R10" s="21">
        <f>IFERROR(__xludf.DUMMYFUNCTION("""COMPUTED_VALUE"""),0.03)</f>
        <v>0.03</v>
      </c>
      <c r="S10" s="20">
        <f>IFERROR(__xludf.DUMMYFUNCTION("""COMPUTED_VALUE"""),0.0)</f>
        <v>0</v>
      </c>
      <c r="T10" s="21">
        <f>IFERROR(__xludf.DUMMYFUNCTION("""COMPUTED_VALUE"""),0.0)</f>
        <v>0</v>
      </c>
      <c r="U10" s="20">
        <f>IFERROR(__xludf.DUMMYFUNCTION("""COMPUTED_VALUE"""),0.0)</f>
        <v>0</v>
      </c>
      <c r="V10" s="21">
        <f>IFERROR(__xludf.DUMMYFUNCTION("""COMPUTED_VALUE"""),0.0)</f>
        <v>0</v>
      </c>
      <c r="W10" s="20"/>
      <c r="X10" s="20"/>
      <c r="Y10" s="20"/>
      <c r="Z10" s="20">
        <f>IFERROR(__xludf.DUMMYFUNCTION("""COMPUTED_VALUE"""),36.0)</f>
        <v>36</v>
      </c>
      <c r="AA10" s="20">
        <f>IFERROR(__xludf.DUMMYFUNCTION("""COMPUTED_VALUE"""),0.0)</f>
        <v>0</v>
      </c>
      <c r="AB10" s="21">
        <f>IFERROR(__xludf.DUMMYFUNCTION("""COMPUTED_VALUE"""),0.0)</f>
        <v>0</v>
      </c>
    </row>
    <row r="11">
      <c r="A11" s="20">
        <f>IFERROR(__xludf.DUMMYFUNCTION("""COMPUTED_VALUE"""),350000.0)</f>
        <v>350000</v>
      </c>
      <c r="B11" s="20" t="str">
        <f>IFERROR(__xludf.DUMMYFUNCTION("""COMPUTED_VALUE"""),"Boston")</f>
        <v>Boston</v>
      </c>
      <c r="C11" s="20">
        <f>IFERROR(__xludf.DUMMYFUNCTION("""COMPUTED_VALUE"""),350691.0)</f>
        <v>350691</v>
      </c>
      <c r="D11" s="20" t="str">
        <f>IFERROR(__xludf.DUMMYFUNCTION("""COMPUTED_VALUE"""),"Rafael Hernandez")</f>
        <v>Rafael Hernandez</v>
      </c>
      <c r="E11" s="20" t="str">
        <f>IFERROR(__xludf.DUMMYFUNCTION("""COMPUTED_VALUE"""),"K")</f>
        <v>K</v>
      </c>
      <c r="F11" s="20" t="str">
        <f>IFERROR(__xludf.DUMMYFUNCTION("""COMPUTED_VALUE"""),"All")</f>
        <v>All</v>
      </c>
      <c r="G11" s="20">
        <f>IFERROR(__xludf.DUMMYFUNCTION("""COMPUTED_VALUE"""),34.0)</f>
        <v>34</v>
      </c>
      <c r="H11" s="20">
        <f>IFERROR(__xludf.DUMMYFUNCTION("""COMPUTED_VALUE"""),34.0)</f>
        <v>34</v>
      </c>
      <c r="I11" s="21">
        <f>IFERROR(__xludf.DUMMYFUNCTION("""COMPUTED_VALUE"""),1.0)</f>
        <v>1</v>
      </c>
      <c r="J11" s="20">
        <f>IFERROR(__xludf.DUMMYFUNCTION("""COMPUTED_VALUE"""),34.0)</f>
        <v>34</v>
      </c>
      <c r="K11" s="20">
        <f>IFERROR(__xludf.DUMMYFUNCTION("""COMPUTED_VALUE"""),21.0)</f>
        <v>21</v>
      </c>
      <c r="L11" s="21">
        <f>IFERROR(__xludf.DUMMYFUNCTION("""COMPUTED_VALUE"""),0.62)</f>
        <v>0.62</v>
      </c>
      <c r="M11" s="20">
        <f>IFERROR(__xludf.DUMMYFUNCTION("""COMPUTED_VALUE"""),9.0)</f>
        <v>9</v>
      </c>
      <c r="N11" s="21">
        <f>IFERROR(__xludf.DUMMYFUNCTION("""COMPUTED_VALUE"""),0.26)</f>
        <v>0.26</v>
      </c>
      <c r="O11" s="20">
        <f>IFERROR(__xludf.DUMMYFUNCTION("""COMPUTED_VALUE"""),2.0)</f>
        <v>2</v>
      </c>
      <c r="P11" s="21">
        <f>IFERROR(__xludf.DUMMYFUNCTION("""COMPUTED_VALUE"""),0.06)</f>
        <v>0.06</v>
      </c>
      <c r="Q11" s="20">
        <f>IFERROR(__xludf.DUMMYFUNCTION("""COMPUTED_VALUE"""),2.0)</f>
        <v>2</v>
      </c>
      <c r="R11" s="21">
        <f>IFERROR(__xludf.DUMMYFUNCTION("""COMPUTED_VALUE"""),0.06)</f>
        <v>0.06</v>
      </c>
      <c r="S11" s="20">
        <f>IFERROR(__xludf.DUMMYFUNCTION("""COMPUTED_VALUE"""),0.0)</f>
        <v>0</v>
      </c>
      <c r="T11" s="21">
        <f>IFERROR(__xludf.DUMMYFUNCTION("""COMPUTED_VALUE"""),0.0)</f>
        <v>0</v>
      </c>
      <c r="U11" s="20">
        <f>IFERROR(__xludf.DUMMYFUNCTION("""COMPUTED_VALUE"""),0.0)</f>
        <v>0</v>
      </c>
      <c r="V11" s="21">
        <f>IFERROR(__xludf.DUMMYFUNCTION("""COMPUTED_VALUE"""),0.0)</f>
        <v>0</v>
      </c>
      <c r="W11" s="20"/>
      <c r="X11" s="20"/>
      <c r="Y11" s="20"/>
      <c r="Z11" s="20">
        <f>IFERROR(__xludf.DUMMYFUNCTION("""COMPUTED_VALUE"""),34.0)</f>
        <v>34</v>
      </c>
      <c r="AA11" s="20">
        <f>IFERROR(__xludf.DUMMYFUNCTION("""COMPUTED_VALUE"""),0.0)</f>
        <v>0</v>
      </c>
      <c r="AB11" s="21">
        <f>IFERROR(__xludf.DUMMYFUNCTION("""COMPUTED_VALUE"""),0.0)</f>
        <v>0</v>
      </c>
    </row>
    <row r="12">
      <c r="A12" s="20">
        <f>IFERROR(__xludf.DUMMYFUNCTION("""COMPUTED_VALUE"""),440000.0)</f>
        <v>440000</v>
      </c>
      <c r="B12" s="20" t="str">
        <f>IFERROR(__xludf.DUMMYFUNCTION("""COMPUTED_VALUE"""),"Brockton")</f>
        <v>Brockton</v>
      </c>
      <c r="C12" s="20">
        <f>IFERROR(__xludf.DUMMYFUNCTION("""COMPUTED_VALUE"""),440003.0)</f>
        <v>440003</v>
      </c>
      <c r="D12" s="20" t="str">
        <f>IFERROR(__xludf.DUMMYFUNCTION("""COMPUTED_VALUE"""),"Manthala George Jr. School")</f>
        <v>Manthala George Jr. School</v>
      </c>
      <c r="E12" s="20" t="str">
        <f>IFERROR(__xludf.DUMMYFUNCTION("""COMPUTED_VALUE"""),"K")</f>
        <v>K</v>
      </c>
      <c r="F12" s="20" t="str">
        <f>IFERROR(__xludf.DUMMYFUNCTION("""COMPUTED_VALUE"""),"All")</f>
        <v>All</v>
      </c>
      <c r="G12" s="20">
        <f>IFERROR(__xludf.DUMMYFUNCTION("""COMPUTED_VALUE"""),101.0)</f>
        <v>101</v>
      </c>
      <c r="H12" s="20">
        <f>IFERROR(__xludf.DUMMYFUNCTION("""COMPUTED_VALUE"""),101.0)</f>
        <v>101</v>
      </c>
      <c r="I12" s="21">
        <f>IFERROR(__xludf.DUMMYFUNCTION("""COMPUTED_VALUE"""),1.0)</f>
        <v>1</v>
      </c>
      <c r="J12" s="20">
        <f>IFERROR(__xludf.DUMMYFUNCTION("""COMPUTED_VALUE"""),101.0)</f>
        <v>101</v>
      </c>
      <c r="K12" s="20">
        <f>IFERROR(__xludf.DUMMYFUNCTION("""COMPUTED_VALUE"""),96.0)</f>
        <v>96</v>
      </c>
      <c r="L12" s="21">
        <f>IFERROR(__xludf.DUMMYFUNCTION("""COMPUTED_VALUE"""),0.95)</f>
        <v>0.95</v>
      </c>
      <c r="M12" s="20">
        <f>IFERROR(__xludf.DUMMYFUNCTION("""COMPUTED_VALUE"""),4.0)</f>
        <v>4</v>
      </c>
      <c r="N12" s="21">
        <f>IFERROR(__xludf.DUMMYFUNCTION("""COMPUTED_VALUE"""),0.04)</f>
        <v>0.04</v>
      </c>
      <c r="O12" s="20">
        <f>IFERROR(__xludf.DUMMYFUNCTION("""COMPUTED_VALUE"""),1.0)</f>
        <v>1</v>
      </c>
      <c r="P12" s="21">
        <f>IFERROR(__xludf.DUMMYFUNCTION("""COMPUTED_VALUE"""),0.01)</f>
        <v>0.01</v>
      </c>
      <c r="Q12" s="20">
        <f>IFERROR(__xludf.DUMMYFUNCTION("""COMPUTED_VALUE"""),0.0)</f>
        <v>0</v>
      </c>
      <c r="R12" s="21">
        <f>IFERROR(__xludf.DUMMYFUNCTION("""COMPUTED_VALUE"""),0.0)</f>
        <v>0</v>
      </c>
      <c r="S12" s="20">
        <f>IFERROR(__xludf.DUMMYFUNCTION("""COMPUTED_VALUE"""),0.0)</f>
        <v>0</v>
      </c>
      <c r="T12" s="21">
        <f>IFERROR(__xludf.DUMMYFUNCTION("""COMPUTED_VALUE"""),0.0)</f>
        <v>0</v>
      </c>
      <c r="U12" s="20">
        <f>IFERROR(__xludf.DUMMYFUNCTION("""COMPUTED_VALUE"""),0.0)</f>
        <v>0</v>
      </c>
      <c r="V12" s="21">
        <f>IFERROR(__xludf.DUMMYFUNCTION("""COMPUTED_VALUE"""),0.0)</f>
        <v>0</v>
      </c>
      <c r="W12" s="20"/>
      <c r="X12" s="20"/>
      <c r="Y12" s="20"/>
      <c r="Z12" s="20">
        <f>IFERROR(__xludf.DUMMYFUNCTION("""COMPUTED_VALUE"""),101.0)</f>
        <v>101</v>
      </c>
      <c r="AA12" s="20">
        <f>IFERROR(__xludf.DUMMYFUNCTION("""COMPUTED_VALUE"""),0.0)</f>
        <v>0</v>
      </c>
      <c r="AB12" s="21">
        <f>IFERROR(__xludf.DUMMYFUNCTION("""COMPUTED_VALUE"""),0.0)</f>
        <v>0</v>
      </c>
    </row>
    <row r="13">
      <c r="A13" s="20">
        <f>IFERROR(__xludf.DUMMYFUNCTION("""COMPUTED_VALUE"""),1000000.0)</f>
        <v>1000000</v>
      </c>
      <c r="B13" s="20" t="str">
        <f>IFERROR(__xludf.DUMMYFUNCTION("""COMPUTED_VALUE"""),"Framingham")</f>
        <v>Framingham</v>
      </c>
      <c r="C13" s="20">
        <f>IFERROR(__xludf.DUMMYFUNCTION("""COMPUTED_VALUE"""),1000006.0)</f>
        <v>1000006</v>
      </c>
      <c r="D13" s="20" t="str">
        <f>IFERROR(__xludf.DUMMYFUNCTION("""COMPUTED_VALUE"""),"Brophy")</f>
        <v>Brophy</v>
      </c>
      <c r="E13" s="20" t="str">
        <f>IFERROR(__xludf.DUMMYFUNCTION("""COMPUTED_VALUE"""),"K")</f>
        <v>K</v>
      </c>
      <c r="F13" s="20" t="str">
        <f>IFERROR(__xludf.DUMMYFUNCTION("""COMPUTED_VALUE"""),"All")</f>
        <v>All</v>
      </c>
      <c r="G13" s="20">
        <f>IFERROR(__xludf.DUMMYFUNCTION("""COMPUTED_VALUE"""),33.0)</f>
        <v>33</v>
      </c>
      <c r="H13" s="20">
        <f>IFERROR(__xludf.DUMMYFUNCTION("""COMPUTED_VALUE"""),33.0)</f>
        <v>33</v>
      </c>
      <c r="I13" s="21">
        <f>IFERROR(__xludf.DUMMYFUNCTION("""COMPUTED_VALUE"""),1.0)</f>
        <v>1</v>
      </c>
      <c r="J13" s="20">
        <f>IFERROR(__xludf.DUMMYFUNCTION("""COMPUTED_VALUE"""),33.0)</f>
        <v>33</v>
      </c>
      <c r="K13" s="20">
        <f>IFERROR(__xludf.DUMMYFUNCTION("""COMPUTED_VALUE"""),19.0)</f>
        <v>19</v>
      </c>
      <c r="L13" s="21">
        <f>IFERROR(__xludf.DUMMYFUNCTION("""COMPUTED_VALUE"""),0.58)</f>
        <v>0.58</v>
      </c>
      <c r="M13" s="20">
        <f>IFERROR(__xludf.DUMMYFUNCTION("""COMPUTED_VALUE"""),1.0)</f>
        <v>1</v>
      </c>
      <c r="N13" s="21">
        <f>IFERROR(__xludf.DUMMYFUNCTION("""COMPUTED_VALUE"""),0.03)</f>
        <v>0.03</v>
      </c>
      <c r="O13" s="20">
        <f>IFERROR(__xludf.DUMMYFUNCTION("""COMPUTED_VALUE"""),4.0)</f>
        <v>4</v>
      </c>
      <c r="P13" s="21">
        <f>IFERROR(__xludf.DUMMYFUNCTION("""COMPUTED_VALUE"""),0.12)</f>
        <v>0.12</v>
      </c>
      <c r="Q13" s="20">
        <f>IFERROR(__xludf.DUMMYFUNCTION("""COMPUTED_VALUE"""),9.0)</f>
        <v>9</v>
      </c>
      <c r="R13" s="21">
        <f>IFERROR(__xludf.DUMMYFUNCTION("""COMPUTED_VALUE"""),0.27)</f>
        <v>0.27</v>
      </c>
      <c r="S13" s="20">
        <f>IFERROR(__xludf.DUMMYFUNCTION("""COMPUTED_VALUE"""),0.0)</f>
        <v>0</v>
      </c>
      <c r="T13" s="21">
        <f>IFERROR(__xludf.DUMMYFUNCTION("""COMPUTED_VALUE"""),0.0)</f>
        <v>0</v>
      </c>
      <c r="U13" s="20">
        <f>IFERROR(__xludf.DUMMYFUNCTION("""COMPUTED_VALUE"""),0.0)</f>
        <v>0</v>
      </c>
      <c r="V13" s="21">
        <f>IFERROR(__xludf.DUMMYFUNCTION("""COMPUTED_VALUE"""),0.0)</f>
        <v>0</v>
      </c>
      <c r="W13" s="20"/>
      <c r="X13" s="20"/>
      <c r="Y13" s="20"/>
      <c r="Z13" s="20">
        <f>IFERROR(__xludf.DUMMYFUNCTION("""COMPUTED_VALUE"""),33.0)</f>
        <v>33</v>
      </c>
      <c r="AA13" s="20">
        <f>IFERROR(__xludf.DUMMYFUNCTION("""COMPUTED_VALUE"""),2.0)</f>
        <v>2</v>
      </c>
      <c r="AB13" s="21">
        <f>IFERROR(__xludf.DUMMYFUNCTION("""COMPUTED_VALUE"""),0.06)</f>
        <v>0.06</v>
      </c>
    </row>
    <row r="14">
      <c r="A14" s="20">
        <f>IFERROR(__xludf.DUMMYFUNCTION("""COMPUTED_VALUE"""),1000000.0)</f>
        <v>1000000</v>
      </c>
      <c r="B14" s="20" t="str">
        <f>IFERROR(__xludf.DUMMYFUNCTION("""COMPUTED_VALUE"""),"Framingham")</f>
        <v>Framingham</v>
      </c>
      <c r="C14" s="20">
        <f>IFERROR(__xludf.DUMMYFUNCTION("""COMPUTED_VALUE"""),1000035.0)</f>
        <v>1000035</v>
      </c>
      <c r="D14" s="20" t="str">
        <f>IFERROR(__xludf.DUMMYFUNCTION("""COMPUTED_VALUE"""),"Barbieri Elementary")</f>
        <v>Barbieri Elementary</v>
      </c>
      <c r="E14" s="20" t="str">
        <f>IFERROR(__xludf.DUMMYFUNCTION("""COMPUTED_VALUE"""),"K")</f>
        <v>K</v>
      </c>
      <c r="F14" s="20" t="str">
        <f>IFERROR(__xludf.DUMMYFUNCTION("""COMPUTED_VALUE"""),"All")</f>
        <v>All</v>
      </c>
      <c r="G14" s="20">
        <f>IFERROR(__xludf.DUMMYFUNCTION("""COMPUTED_VALUE"""),68.0)</f>
        <v>68</v>
      </c>
      <c r="H14" s="20">
        <f>IFERROR(__xludf.DUMMYFUNCTION("""COMPUTED_VALUE"""),68.0)</f>
        <v>68</v>
      </c>
      <c r="I14" s="21">
        <f>IFERROR(__xludf.DUMMYFUNCTION("""COMPUTED_VALUE"""),1.0)</f>
        <v>1</v>
      </c>
      <c r="J14" s="20">
        <f>IFERROR(__xludf.DUMMYFUNCTION("""COMPUTED_VALUE"""),68.0)</f>
        <v>68</v>
      </c>
      <c r="K14" s="20">
        <f>IFERROR(__xludf.DUMMYFUNCTION("""COMPUTED_VALUE"""),55.0)</f>
        <v>55</v>
      </c>
      <c r="L14" s="21">
        <f>IFERROR(__xludf.DUMMYFUNCTION("""COMPUTED_VALUE"""),0.81)</f>
        <v>0.81</v>
      </c>
      <c r="M14" s="20">
        <f>IFERROR(__xludf.DUMMYFUNCTION("""COMPUTED_VALUE"""),11.0)</f>
        <v>11</v>
      </c>
      <c r="N14" s="21">
        <f>IFERROR(__xludf.DUMMYFUNCTION("""COMPUTED_VALUE"""),0.16)</f>
        <v>0.16</v>
      </c>
      <c r="O14" s="20">
        <f>IFERROR(__xludf.DUMMYFUNCTION("""COMPUTED_VALUE"""),2.0)</f>
        <v>2</v>
      </c>
      <c r="P14" s="21">
        <f>IFERROR(__xludf.DUMMYFUNCTION("""COMPUTED_VALUE"""),0.03)</f>
        <v>0.03</v>
      </c>
      <c r="Q14" s="20">
        <f>IFERROR(__xludf.DUMMYFUNCTION("""COMPUTED_VALUE"""),0.0)</f>
        <v>0</v>
      </c>
      <c r="R14" s="21">
        <f>IFERROR(__xludf.DUMMYFUNCTION("""COMPUTED_VALUE"""),0.0)</f>
        <v>0</v>
      </c>
      <c r="S14" s="20">
        <f>IFERROR(__xludf.DUMMYFUNCTION("""COMPUTED_VALUE"""),0.0)</f>
        <v>0</v>
      </c>
      <c r="T14" s="21">
        <f>IFERROR(__xludf.DUMMYFUNCTION("""COMPUTED_VALUE"""),0.0)</f>
        <v>0</v>
      </c>
      <c r="U14" s="20">
        <f>IFERROR(__xludf.DUMMYFUNCTION("""COMPUTED_VALUE"""),0.0)</f>
        <v>0</v>
      </c>
      <c r="V14" s="21">
        <f>IFERROR(__xludf.DUMMYFUNCTION("""COMPUTED_VALUE"""),0.0)</f>
        <v>0</v>
      </c>
      <c r="W14" s="20"/>
      <c r="X14" s="20"/>
      <c r="Y14" s="20"/>
      <c r="Z14" s="20">
        <f>IFERROR(__xludf.DUMMYFUNCTION("""COMPUTED_VALUE"""),68.0)</f>
        <v>68</v>
      </c>
      <c r="AA14" s="20">
        <f>IFERROR(__xludf.DUMMYFUNCTION("""COMPUTED_VALUE"""),0.0)</f>
        <v>0</v>
      </c>
      <c r="AB14" s="21">
        <f>IFERROR(__xludf.DUMMYFUNCTION("""COMPUTED_VALUE"""),0.0)</f>
        <v>0</v>
      </c>
    </row>
    <row r="15">
      <c r="A15" s="20">
        <f>IFERROR(__xludf.DUMMYFUNCTION("""COMPUTED_VALUE"""),1000000.0)</f>
        <v>1000000</v>
      </c>
      <c r="B15" s="20" t="str">
        <f>IFERROR(__xludf.DUMMYFUNCTION("""COMPUTED_VALUE"""),"Framingham")</f>
        <v>Framingham</v>
      </c>
      <c r="C15" s="20">
        <f>IFERROR(__xludf.DUMMYFUNCTION("""COMPUTED_VALUE"""),1000039.0)</f>
        <v>1000039</v>
      </c>
      <c r="D15" s="20" t="str">
        <f>IFERROR(__xludf.DUMMYFUNCTION("""COMPUTED_VALUE"""),"Potter Road")</f>
        <v>Potter Road</v>
      </c>
      <c r="E15" s="20" t="str">
        <f>IFERROR(__xludf.DUMMYFUNCTION("""COMPUTED_VALUE"""),"K")</f>
        <v>K</v>
      </c>
      <c r="F15" s="20" t="str">
        <f>IFERROR(__xludf.DUMMYFUNCTION("""COMPUTED_VALUE"""),"All")</f>
        <v>All</v>
      </c>
      <c r="G15" s="20">
        <f>IFERROR(__xludf.DUMMYFUNCTION("""COMPUTED_VALUE"""),33.0)</f>
        <v>33</v>
      </c>
      <c r="H15" s="20">
        <f>IFERROR(__xludf.DUMMYFUNCTION("""COMPUTED_VALUE"""),33.0)</f>
        <v>33</v>
      </c>
      <c r="I15" s="21">
        <f>IFERROR(__xludf.DUMMYFUNCTION("""COMPUTED_VALUE"""),1.0)</f>
        <v>1</v>
      </c>
      <c r="J15" s="20">
        <f>IFERROR(__xludf.DUMMYFUNCTION("""COMPUTED_VALUE"""),33.0)</f>
        <v>33</v>
      </c>
      <c r="K15" s="20">
        <f>IFERROR(__xludf.DUMMYFUNCTION("""COMPUTED_VALUE"""),17.0)</f>
        <v>17</v>
      </c>
      <c r="L15" s="21">
        <f>IFERROR(__xludf.DUMMYFUNCTION("""COMPUTED_VALUE"""),0.52)</f>
        <v>0.52</v>
      </c>
      <c r="M15" s="20">
        <f>IFERROR(__xludf.DUMMYFUNCTION("""COMPUTED_VALUE"""),11.0)</f>
        <v>11</v>
      </c>
      <c r="N15" s="21">
        <f>IFERROR(__xludf.DUMMYFUNCTION("""COMPUTED_VALUE"""),0.33)</f>
        <v>0.33</v>
      </c>
      <c r="O15" s="20">
        <f>IFERROR(__xludf.DUMMYFUNCTION("""COMPUTED_VALUE"""),2.0)</f>
        <v>2</v>
      </c>
      <c r="P15" s="21">
        <f>IFERROR(__xludf.DUMMYFUNCTION("""COMPUTED_VALUE"""),0.06)</f>
        <v>0.06</v>
      </c>
      <c r="Q15" s="20">
        <f>IFERROR(__xludf.DUMMYFUNCTION("""COMPUTED_VALUE"""),3.0)</f>
        <v>3</v>
      </c>
      <c r="R15" s="21">
        <f>IFERROR(__xludf.DUMMYFUNCTION("""COMPUTED_VALUE"""),0.09)</f>
        <v>0.09</v>
      </c>
      <c r="S15" s="20">
        <f>IFERROR(__xludf.DUMMYFUNCTION("""COMPUTED_VALUE"""),0.0)</f>
        <v>0</v>
      </c>
      <c r="T15" s="21">
        <f>IFERROR(__xludf.DUMMYFUNCTION("""COMPUTED_VALUE"""),0.0)</f>
        <v>0</v>
      </c>
      <c r="U15" s="20">
        <f>IFERROR(__xludf.DUMMYFUNCTION("""COMPUTED_VALUE"""),0.0)</f>
        <v>0</v>
      </c>
      <c r="V15" s="21">
        <f>IFERROR(__xludf.DUMMYFUNCTION("""COMPUTED_VALUE"""),0.0)</f>
        <v>0</v>
      </c>
      <c r="W15" s="20"/>
      <c r="X15" s="20"/>
      <c r="Y15" s="20"/>
      <c r="Z15" s="20">
        <f>IFERROR(__xludf.DUMMYFUNCTION("""COMPUTED_VALUE"""),33.0)</f>
        <v>33</v>
      </c>
      <c r="AA15" s="20">
        <f>IFERROR(__xludf.DUMMYFUNCTION("""COMPUTED_VALUE"""),0.0)</f>
        <v>0</v>
      </c>
      <c r="AB15" s="21">
        <f>IFERROR(__xludf.DUMMYFUNCTION("""COMPUTED_VALUE"""),0.0)</f>
        <v>0</v>
      </c>
    </row>
    <row r="16">
      <c r="A16" s="20">
        <f>IFERROR(__xludf.DUMMYFUNCTION("""COMPUTED_VALUE"""),1000000.0)</f>
        <v>1000000</v>
      </c>
      <c r="B16" s="20" t="str">
        <f>IFERROR(__xludf.DUMMYFUNCTION("""COMPUTED_VALUE"""),"Framingham")</f>
        <v>Framingham</v>
      </c>
      <c r="C16" s="20">
        <f>IFERROR(__xludf.DUMMYFUNCTION("""COMPUTED_VALUE"""),1000055.0)</f>
        <v>1000055</v>
      </c>
      <c r="D16" s="20" t="str">
        <f>IFERROR(__xludf.DUMMYFUNCTION("""COMPUTED_VALUE"""),"Woodrow Wilson")</f>
        <v>Woodrow Wilson</v>
      </c>
      <c r="E16" s="20" t="str">
        <f>IFERROR(__xludf.DUMMYFUNCTION("""COMPUTED_VALUE"""),"K")</f>
        <v>K</v>
      </c>
      <c r="F16" s="20" t="str">
        <f>IFERROR(__xludf.DUMMYFUNCTION("""COMPUTED_VALUE"""),"All")</f>
        <v>All</v>
      </c>
      <c r="G16" s="20">
        <f>IFERROR(__xludf.DUMMYFUNCTION("""COMPUTED_VALUE"""),59.0)</f>
        <v>59</v>
      </c>
      <c r="H16" s="20">
        <f>IFERROR(__xludf.DUMMYFUNCTION("""COMPUTED_VALUE"""),59.0)</f>
        <v>59</v>
      </c>
      <c r="I16" s="21">
        <f>IFERROR(__xludf.DUMMYFUNCTION("""COMPUTED_VALUE"""),1.0)</f>
        <v>1</v>
      </c>
      <c r="J16" s="20">
        <f>IFERROR(__xludf.DUMMYFUNCTION("""COMPUTED_VALUE"""),59.0)</f>
        <v>59</v>
      </c>
      <c r="K16" s="20">
        <f>IFERROR(__xludf.DUMMYFUNCTION("""COMPUTED_VALUE"""),40.0)</f>
        <v>40</v>
      </c>
      <c r="L16" s="21">
        <f>IFERROR(__xludf.DUMMYFUNCTION("""COMPUTED_VALUE"""),0.68)</f>
        <v>0.68</v>
      </c>
      <c r="M16" s="20">
        <f>IFERROR(__xludf.DUMMYFUNCTION("""COMPUTED_VALUE"""),7.0)</f>
        <v>7</v>
      </c>
      <c r="N16" s="21">
        <f>IFERROR(__xludf.DUMMYFUNCTION("""COMPUTED_VALUE"""),0.12)</f>
        <v>0.12</v>
      </c>
      <c r="O16" s="20">
        <f>IFERROR(__xludf.DUMMYFUNCTION("""COMPUTED_VALUE"""),7.0)</f>
        <v>7</v>
      </c>
      <c r="P16" s="21">
        <f>IFERROR(__xludf.DUMMYFUNCTION("""COMPUTED_VALUE"""),0.12)</f>
        <v>0.12</v>
      </c>
      <c r="Q16" s="20">
        <f>IFERROR(__xludf.DUMMYFUNCTION("""COMPUTED_VALUE"""),5.0)</f>
        <v>5</v>
      </c>
      <c r="R16" s="21">
        <f>IFERROR(__xludf.DUMMYFUNCTION("""COMPUTED_VALUE"""),0.08)</f>
        <v>0.08</v>
      </c>
      <c r="S16" s="20">
        <f>IFERROR(__xludf.DUMMYFUNCTION("""COMPUTED_VALUE"""),0.0)</f>
        <v>0</v>
      </c>
      <c r="T16" s="21">
        <f>IFERROR(__xludf.DUMMYFUNCTION("""COMPUTED_VALUE"""),0.0)</f>
        <v>0</v>
      </c>
      <c r="U16" s="20">
        <f>IFERROR(__xludf.DUMMYFUNCTION("""COMPUTED_VALUE"""),0.0)</f>
        <v>0</v>
      </c>
      <c r="V16" s="21">
        <f>IFERROR(__xludf.DUMMYFUNCTION("""COMPUTED_VALUE"""),0.0)</f>
        <v>0</v>
      </c>
      <c r="W16" s="20"/>
      <c r="X16" s="20"/>
      <c r="Y16" s="20"/>
      <c r="Z16" s="20">
        <f>IFERROR(__xludf.DUMMYFUNCTION("""COMPUTED_VALUE"""),59.0)</f>
        <v>59</v>
      </c>
      <c r="AA16" s="20">
        <f>IFERROR(__xludf.DUMMYFUNCTION("""COMPUTED_VALUE"""),2.0)</f>
        <v>2</v>
      </c>
      <c r="AB16" s="21">
        <f>IFERROR(__xludf.DUMMYFUNCTION("""COMPUTED_VALUE"""),0.03)</f>
        <v>0.03</v>
      </c>
    </row>
    <row r="17">
      <c r="A17" s="20">
        <f>IFERROR(__xludf.DUMMYFUNCTION("""COMPUTED_VALUE"""),1360000.0)</f>
        <v>1360000</v>
      </c>
      <c r="B17" s="20" t="str">
        <f>IFERROR(__xludf.DUMMYFUNCTION("""COMPUTED_VALUE"""),"Holliston")</f>
        <v>Holliston</v>
      </c>
      <c r="C17" s="20">
        <f>IFERROR(__xludf.DUMMYFUNCTION("""COMPUTED_VALUE"""),1360010.0)</f>
        <v>1360010</v>
      </c>
      <c r="D17" s="20" t="str">
        <f>IFERROR(__xludf.DUMMYFUNCTION("""COMPUTED_VALUE"""),"Placentino Elementary")</f>
        <v>Placentino Elementary</v>
      </c>
      <c r="E17" s="20" t="str">
        <f>IFERROR(__xludf.DUMMYFUNCTION("""COMPUTED_VALUE"""),"K")</f>
        <v>K</v>
      </c>
      <c r="F17" s="20" t="str">
        <f>IFERROR(__xludf.DUMMYFUNCTION("""COMPUTED_VALUE"""),"All")</f>
        <v>All</v>
      </c>
      <c r="G17" s="20">
        <f>IFERROR(__xludf.DUMMYFUNCTION("""COMPUTED_VALUE"""),10.0)</f>
        <v>10</v>
      </c>
      <c r="H17" s="20">
        <f>IFERROR(__xludf.DUMMYFUNCTION("""COMPUTED_VALUE"""),10.0)</f>
        <v>10</v>
      </c>
      <c r="I17" s="21">
        <f>IFERROR(__xludf.DUMMYFUNCTION("""COMPUTED_VALUE"""),1.0)</f>
        <v>1</v>
      </c>
      <c r="J17" s="20">
        <f>IFERROR(__xludf.DUMMYFUNCTION("""COMPUTED_VALUE"""),10.0)</f>
        <v>10</v>
      </c>
      <c r="K17" s="20">
        <f>IFERROR(__xludf.DUMMYFUNCTION("""COMPUTED_VALUE"""),4.0)</f>
        <v>4</v>
      </c>
      <c r="L17" s="21">
        <f>IFERROR(__xludf.DUMMYFUNCTION("""COMPUTED_VALUE"""),0.4)</f>
        <v>0.4</v>
      </c>
      <c r="M17" s="20">
        <f>IFERROR(__xludf.DUMMYFUNCTION("""COMPUTED_VALUE"""),3.0)</f>
        <v>3</v>
      </c>
      <c r="N17" s="21">
        <f>IFERROR(__xludf.DUMMYFUNCTION("""COMPUTED_VALUE"""),0.3)</f>
        <v>0.3</v>
      </c>
      <c r="O17" s="20">
        <f>IFERROR(__xludf.DUMMYFUNCTION("""COMPUTED_VALUE"""),1.0)</f>
        <v>1</v>
      </c>
      <c r="P17" s="21">
        <f>IFERROR(__xludf.DUMMYFUNCTION("""COMPUTED_VALUE"""),0.1)</f>
        <v>0.1</v>
      </c>
      <c r="Q17" s="20">
        <f>IFERROR(__xludf.DUMMYFUNCTION("""COMPUTED_VALUE"""),2.0)</f>
        <v>2</v>
      </c>
      <c r="R17" s="21">
        <f>IFERROR(__xludf.DUMMYFUNCTION("""COMPUTED_VALUE"""),0.2)</f>
        <v>0.2</v>
      </c>
      <c r="S17" s="20">
        <f>IFERROR(__xludf.DUMMYFUNCTION("""COMPUTED_VALUE"""),0.0)</f>
        <v>0</v>
      </c>
      <c r="T17" s="21">
        <f>IFERROR(__xludf.DUMMYFUNCTION("""COMPUTED_VALUE"""),0.0)</f>
        <v>0</v>
      </c>
      <c r="U17" s="20">
        <f>IFERROR(__xludf.DUMMYFUNCTION("""COMPUTED_VALUE"""),0.0)</f>
        <v>0</v>
      </c>
      <c r="V17" s="21">
        <f>IFERROR(__xludf.DUMMYFUNCTION("""COMPUTED_VALUE"""),0.0)</f>
        <v>0</v>
      </c>
      <c r="W17" s="20"/>
      <c r="X17" s="20"/>
      <c r="Y17" s="20"/>
      <c r="Z17" s="20">
        <f>IFERROR(__xludf.DUMMYFUNCTION("""COMPUTED_VALUE"""),10.0)</f>
        <v>10</v>
      </c>
      <c r="AA17" s="20">
        <f>IFERROR(__xludf.DUMMYFUNCTION("""COMPUTED_VALUE"""),0.0)</f>
        <v>0</v>
      </c>
      <c r="AB17" s="21">
        <f>IFERROR(__xludf.DUMMYFUNCTION("""COMPUTED_VALUE"""),0.0)</f>
        <v>0</v>
      </c>
    </row>
    <row r="18">
      <c r="A18" s="20">
        <f>IFERROR(__xludf.DUMMYFUNCTION("""COMPUTED_VALUE"""),2010000.0)</f>
        <v>2010000</v>
      </c>
      <c r="B18" s="20" t="str">
        <f>IFERROR(__xludf.DUMMYFUNCTION("""COMPUTED_VALUE"""),"New Bedford")</f>
        <v>New Bedford</v>
      </c>
      <c r="C18" s="20">
        <f>IFERROR(__xludf.DUMMYFUNCTION("""COMPUTED_VALUE"""),2010063.0)</f>
        <v>2010063</v>
      </c>
      <c r="D18" s="20" t="str">
        <f>IFERROR(__xludf.DUMMYFUNCTION("""COMPUTED_VALUE"""),"Alfred J Gomes")</f>
        <v>Alfred J Gomes</v>
      </c>
      <c r="E18" s="20" t="str">
        <f>IFERROR(__xludf.DUMMYFUNCTION("""COMPUTED_VALUE"""),"K")</f>
        <v>K</v>
      </c>
      <c r="F18" s="20" t="str">
        <f>IFERROR(__xludf.DUMMYFUNCTION("""COMPUTED_VALUE"""),"All")</f>
        <v>All</v>
      </c>
      <c r="G18" s="20">
        <f>IFERROR(__xludf.DUMMYFUNCTION("""COMPUTED_VALUE"""),61.0)</f>
        <v>61</v>
      </c>
      <c r="H18" s="20">
        <f>IFERROR(__xludf.DUMMYFUNCTION("""COMPUTED_VALUE"""),61.0)</f>
        <v>61</v>
      </c>
      <c r="I18" s="21">
        <f>IFERROR(__xludf.DUMMYFUNCTION("""COMPUTED_VALUE"""),1.0)</f>
        <v>1</v>
      </c>
      <c r="J18" s="20">
        <f>IFERROR(__xludf.DUMMYFUNCTION("""COMPUTED_VALUE"""),61.0)</f>
        <v>61</v>
      </c>
      <c r="K18" s="20">
        <f>IFERROR(__xludf.DUMMYFUNCTION("""COMPUTED_VALUE"""),43.0)</f>
        <v>43</v>
      </c>
      <c r="L18" s="21">
        <f>IFERROR(__xludf.DUMMYFUNCTION("""COMPUTED_VALUE"""),0.7)</f>
        <v>0.7</v>
      </c>
      <c r="M18" s="20">
        <f>IFERROR(__xludf.DUMMYFUNCTION("""COMPUTED_VALUE"""),9.0)</f>
        <v>9</v>
      </c>
      <c r="N18" s="21">
        <f>IFERROR(__xludf.DUMMYFUNCTION("""COMPUTED_VALUE"""),0.15)</f>
        <v>0.15</v>
      </c>
      <c r="O18" s="20">
        <f>IFERROR(__xludf.DUMMYFUNCTION("""COMPUTED_VALUE"""),6.0)</f>
        <v>6</v>
      </c>
      <c r="P18" s="21">
        <f>IFERROR(__xludf.DUMMYFUNCTION("""COMPUTED_VALUE"""),0.1)</f>
        <v>0.1</v>
      </c>
      <c r="Q18" s="20">
        <f>IFERROR(__xludf.DUMMYFUNCTION("""COMPUTED_VALUE"""),2.0)</f>
        <v>2</v>
      </c>
      <c r="R18" s="21">
        <f>IFERROR(__xludf.DUMMYFUNCTION("""COMPUTED_VALUE"""),0.03)</f>
        <v>0.03</v>
      </c>
      <c r="S18" s="20">
        <f>IFERROR(__xludf.DUMMYFUNCTION("""COMPUTED_VALUE"""),1.0)</f>
        <v>1</v>
      </c>
      <c r="T18" s="21">
        <f>IFERROR(__xludf.DUMMYFUNCTION("""COMPUTED_VALUE"""),0.02)</f>
        <v>0.02</v>
      </c>
      <c r="U18" s="20">
        <f>IFERROR(__xludf.DUMMYFUNCTION("""COMPUTED_VALUE"""),0.0)</f>
        <v>0</v>
      </c>
      <c r="V18" s="21">
        <f>IFERROR(__xludf.DUMMYFUNCTION("""COMPUTED_VALUE"""),0.0)</f>
        <v>0</v>
      </c>
      <c r="W18" s="20"/>
      <c r="X18" s="20"/>
      <c r="Y18" s="20"/>
      <c r="Z18" s="20">
        <f>IFERROR(__xludf.DUMMYFUNCTION("""COMPUTED_VALUE"""),61.0)</f>
        <v>61</v>
      </c>
      <c r="AA18" s="20">
        <f>IFERROR(__xludf.DUMMYFUNCTION("""COMPUTED_VALUE"""),1.0)</f>
        <v>1</v>
      </c>
      <c r="AB18" s="21">
        <f>IFERROR(__xludf.DUMMYFUNCTION("""COMPUTED_VALUE"""),0.02)</f>
        <v>0.02</v>
      </c>
    </row>
    <row r="19">
      <c r="A19" s="20">
        <f>IFERROR(__xludf.DUMMYFUNCTION("""COMPUTED_VALUE"""),2740000.0)</f>
        <v>2740000</v>
      </c>
      <c r="B19" s="20" t="str">
        <f>IFERROR(__xludf.DUMMYFUNCTION("""COMPUTED_VALUE"""),"Somerville")</f>
        <v>Somerville</v>
      </c>
      <c r="C19" s="20">
        <f>IFERROR(__xludf.DUMMYFUNCTION("""COMPUTED_VALUE"""),2740111.0)</f>
        <v>2740111</v>
      </c>
      <c r="D19" s="20" t="str">
        <f>IFERROR(__xludf.DUMMYFUNCTION("""COMPUTED_VALUE"""),"E Somerville Community")</f>
        <v>E Somerville Community</v>
      </c>
      <c r="E19" s="20" t="str">
        <f>IFERROR(__xludf.DUMMYFUNCTION("""COMPUTED_VALUE"""),"K")</f>
        <v>K</v>
      </c>
      <c r="F19" s="20" t="str">
        <f>IFERROR(__xludf.DUMMYFUNCTION("""COMPUTED_VALUE"""),"All")</f>
        <v>All</v>
      </c>
      <c r="G19" s="20">
        <f>IFERROR(__xludf.DUMMYFUNCTION("""COMPUTED_VALUE"""),33.0)</f>
        <v>33</v>
      </c>
      <c r="H19" s="20">
        <f>IFERROR(__xludf.DUMMYFUNCTION("""COMPUTED_VALUE"""),33.0)</f>
        <v>33</v>
      </c>
      <c r="I19" s="21">
        <f>IFERROR(__xludf.DUMMYFUNCTION("""COMPUTED_VALUE"""),1.0)</f>
        <v>1</v>
      </c>
      <c r="J19" s="20">
        <f>IFERROR(__xludf.DUMMYFUNCTION("""COMPUTED_VALUE"""),33.0)</f>
        <v>33</v>
      </c>
      <c r="K19" s="20">
        <f>IFERROR(__xludf.DUMMYFUNCTION("""COMPUTED_VALUE"""),24.0)</f>
        <v>24</v>
      </c>
      <c r="L19" s="21">
        <f>IFERROR(__xludf.DUMMYFUNCTION("""COMPUTED_VALUE"""),0.73)</f>
        <v>0.73</v>
      </c>
      <c r="M19" s="20">
        <f>IFERROR(__xludf.DUMMYFUNCTION("""COMPUTED_VALUE"""),7.0)</f>
        <v>7</v>
      </c>
      <c r="N19" s="21">
        <f>IFERROR(__xludf.DUMMYFUNCTION("""COMPUTED_VALUE"""),0.21)</f>
        <v>0.21</v>
      </c>
      <c r="O19" s="20">
        <f>IFERROR(__xludf.DUMMYFUNCTION("""COMPUTED_VALUE"""),1.0)</f>
        <v>1</v>
      </c>
      <c r="P19" s="21">
        <f>IFERROR(__xludf.DUMMYFUNCTION("""COMPUTED_VALUE"""),0.03)</f>
        <v>0.03</v>
      </c>
      <c r="Q19" s="20">
        <f>IFERROR(__xludf.DUMMYFUNCTION("""COMPUTED_VALUE"""),1.0)</f>
        <v>1</v>
      </c>
      <c r="R19" s="21">
        <f>IFERROR(__xludf.DUMMYFUNCTION("""COMPUTED_VALUE"""),0.03)</f>
        <v>0.03</v>
      </c>
      <c r="S19" s="20">
        <f>IFERROR(__xludf.DUMMYFUNCTION("""COMPUTED_VALUE"""),0.0)</f>
        <v>0</v>
      </c>
      <c r="T19" s="21">
        <f>IFERROR(__xludf.DUMMYFUNCTION("""COMPUTED_VALUE"""),0.0)</f>
        <v>0</v>
      </c>
      <c r="U19" s="20">
        <f>IFERROR(__xludf.DUMMYFUNCTION("""COMPUTED_VALUE"""),0.0)</f>
        <v>0</v>
      </c>
      <c r="V19" s="21">
        <f>IFERROR(__xludf.DUMMYFUNCTION("""COMPUTED_VALUE"""),0.0)</f>
        <v>0</v>
      </c>
      <c r="W19" s="20"/>
      <c r="X19" s="20"/>
      <c r="Y19" s="20"/>
      <c r="Z19" s="20">
        <f>IFERROR(__xludf.DUMMYFUNCTION("""COMPUTED_VALUE"""),33.0)</f>
        <v>33</v>
      </c>
      <c r="AA19" s="20">
        <f>IFERROR(__xludf.DUMMYFUNCTION("""COMPUTED_VALUE"""),0.0)</f>
        <v>0</v>
      </c>
      <c r="AB19" s="21">
        <f>IFERROR(__xludf.DUMMYFUNCTION("""COMPUTED_VALUE"""),0.0)</f>
        <v>0</v>
      </c>
    </row>
    <row r="20">
      <c r="A20" s="20">
        <f>IFERROR(__xludf.DUMMYFUNCTION("""COMPUTED_VALUE"""),2770000.0)</f>
        <v>2770000</v>
      </c>
      <c r="B20" s="20" t="str">
        <f>IFERROR(__xludf.DUMMYFUNCTION("""COMPUTED_VALUE"""),"Southbridge")</f>
        <v>Southbridge</v>
      </c>
      <c r="C20" s="20">
        <f>IFERROR(__xludf.DUMMYFUNCTION("""COMPUTED_VALUE"""),2770010.0)</f>
        <v>2770010</v>
      </c>
      <c r="D20" s="20" t="str">
        <f>IFERROR(__xludf.DUMMYFUNCTION("""COMPUTED_VALUE"""),"Eastford Road")</f>
        <v>Eastford Road</v>
      </c>
      <c r="E20" s="20" t="str">
        <f>IFERROR(__xludf.DUMMYFUNCTION("""COMPUTED_VALUE"""),"K")</f>
        <v>K</v>
      </c>
      <c r="F20" s="20" t="str">
        <f>IFERROR(__xludf.DUMMYFUNCTION("""COMPUTED_VALUE"""),"All")</f>
        <v>All</v>
      </c>
      <c r="G20" s="20">
        <f>IFERROR(__xludf.DUMMYFUNCTION("""COMPUTED_VALUE"""),41.0)</f>
        <v>41</v>
      </c>
      <c r="H20" s="20">
        <f>IFERROR(__xludf.DUMMYFUNCTION("""COMPUTED_VALUE"""),40.0)</f>
        <v>40</v>
      </c>
      <c r="I20" s="21">
        <f>IFERROR(__xludf.DUMMYFUNCTION("""COMPUTED_VALUE"""),0.98)</f>
        <v>0.98</v>
      </c>
      <c r="J20" s="20">
        <f>IFERROR(__xludf.DUMMYFUNCTION("""COMPUTED_VALUE"""),40.0)</f>
        <v>40</v>
      </c>
      <c r="K20" s="20">
        <f>IFERROR(__xludf.DUMMYFUNCTION("""COMPUTED_VALUE"""),18.0)</f>
        <v>18</v>
      </c>
      <c r="L20" s="21">
        <f>IFERROR(__xludf.DUMMYFUNCTION("""COMPUTED_VALUE"""),0.45)</f>
        <v>0.45</v>
      </c>
      <c r="M20" s="20">
        <f>IFERROR(__xludf.DUMMYFUNCTION("""COMPUTED_VALUE"""),6.0)</f>
        <v>6</v>
      </c>
      <c r="N20" s="21">
        <f>IFERROR(__xludf.DUMMYFUNCTION("""COMPUTED_VALUE"""),0.15)</f>
        <v>0.15</v>
      </c>
      <c r="O20" s="20">
        <f>IFERROR(__xludf.DUMMYFUNCTION("""COMPUTED_VALUE"""),8.0)</f>
        <v>8</v>
      </c>
      <c r="P20" s="21">
        <f>IFERROR(__xludf.DUMMYFUNCTION("""COMPUTED_VALUE"""),0.2)</f>
        <v>0.2</v>
      </c>
      <c r="Q20" s="20">
        <f>IFERROR(__xludf.DUMMYFUNCTION("""COMPUTED_VALUE"""),7.0)</f>
        <v>7</v>
      </c>
      <c r="R20" s="21">
        <f>IFERROR(__xludf.DUMMYFUNCTION("""COMPUTED_VALUE"""),0.18)</f>
        <v>0.18</v>
      </c>
      <c r="S20" s="20">
        <f>IFERROR(__xludf.DUMMYFUNCTION("""COMPUTED_VALUE"""),1.0)</f>
        <v>1</v>
      </c>
      <c r="T20" s="21">
        <f>IFERROR(__xludf.DUMMYFUNCTION("""COMPUTED_VALUE"""),0.03)</f>
        <v>0.03</v>
      </c>
      <c r="U20" s="20">
        <f>IFERROR(__xludf.DUMMYFUNCTION("""COMPUTED_VALUE"""),0.0)</f>
        <v>0</v>
      </c>
      <c r="V20" s="21">
        <f>IFERROR(__xludf.DUMMYFUNCTION("""COMPUTED_VALUE"""),0.0)</f>
        <v>0</v>
      </c>
      <c r="W20" s="20"/>
      <c r="X20" s="20"/>
      <c r="Y20" s="20"/>
      <c r="Z20" s="20">
        <f>IFERROR(__xludf.DUMMYFUNCTION("""COMPUTED_VALUE"""),41.0)</f>
        <v>41</v>
      </c>
      <c r="AA20" s="20">
        <f>IFERROR(__xludf.DUMMYFUNCTION("""COMPUTED_VALUE"""),1.0)</f>
        <v>1</v>
      </c>
      <c r="AB20" s="21">
        <f>IFERROR(__xludf.DUMMYFUNCTION("""COMPUTED_VALUE"""),0.02)</f>
        <v>0.02</v>
      </c>
    </row>
    <row r="21">
      <c r="A21" s="20">
        <f>IFERROR(__xludf.DUMMYFUNCTION("""COMPUTED_VALUE"""),3080000.0)</f>
        <v>3080000</v>
      </c>
      <c r="B21" s="20" t="str">
        <f>IFERROR(__xludf.DUMMYFUNCTION("""COMPUTED_VALUE"""),"Waltham")</f>
        <v>Waltham</v>
      </c>
      <c r="C21" s="20">
        <f>IFERROR(__xludf.DUMMYFUNCTION("""COMPUTED_VALUE"""),3080001.0)</f>
        <v>3080001</v>
      </c>
      <c r="D21" s="20" t="str">
        <f>IFERROR(__xludf.DUMMYFUNCTION("""COMPUTED_VALUE"""),"Waltham Public Schools Dual Language Program")</f>
        <v>Waltham Public Schools Dual Language Program</v>
      </c>
      <c r="E21" s="20" t="str">
        <f>IFERROR(__xludf.DUMMYFUNCTION("""COMPUTED_VALUE"""),"K")</f>
        <v>K</v>
      </c>
      <c r="F21" s="20" t="str">
        <f>IFERROR(__xludf.DUMMYFUNCTION("""COMPUTED_VALUE"""),"All")</f>
        <v>All</v>
      </c>
      <c r="G21" s="20">
        <f>IFERROR(__xludf.DUMMYFUNCTION("""COMPUTED_VALUE"""),22.0)</f>
        <v>22</v>
      </c>
      <c r="H21" s="20">
        <f>IFERROR(__xludf.DUMMYFUNCTION("""COMPUTED_VALUE"""),22.0)</f>
        <v>22</v>
      </c>
      <c r="I21" s="21">
        <f>IFERROR(__xludf.DUMMYFUNCTION("""COMPUTED_VALUE"""),1.0)</f>
        <v>1</v>
      </c>
      <c r="J21" s="20">
        <f>IFERROR(__xludf.DUMMYFUNCTION("""COMPUTED_VALUE"""),22.0)</f>
        <v>22</v>
      </c>
      <c r="K21" s="20">
        <f>IFERROR(__xludf.DUMMYFUNCTION("""COMPUTED_VALUE"""),16.0)</f>
        <v>16</v>
      </c>
      <c r="L21" s="21">
        <f>IFERROR(__xludf.DUMMYFUNCTION("""COMPUTED_VALUE"""),0.73)</f>
        <v>0.73</v>
      </c>
      <c r="M21" s="20">
        <f>IFERROR(__xludf.DUMMYFUNCTION("""COMPUTED_VALUE"""),4.0)</f>
        <v>4</v>
      </c>
      <c r="N21" s="21">
        <f>IFERROR(__xludf.DUMMYFUNCTION("""COMPUTED_VALUE"""),0.18)</f>
        <v>0.18</v>
      </c>
      <c r="O21" s="20">
        <f>IFERROR(__xludf.DUMMYFUNCTION("""COMPUTED_VALUE"""),2.0)</f>
        <v>2</v>
      </c>
      <c r="P21" s="21">
        <f>IFERROR(__xludf.DUMMYFUNCTION("""COMPUTED_VALUE"""),0.09)</f>
        <v>0.09</v>
      </c>
      <c r="Q21" s="20">
        <f>IFERROR(__xludf.DUMMYFUNCTION("""COMPUTED_VALUE"""),0.0)</f>
        <v>0</v>
      </c>
      <c r="R21" s="21">
        <f>IFERROR(__xludf.DUMMYFUNCTION("""COMPUTED_VALUE"""),0.0)</f>
        <v>0</v>
      </c>
      <c r="S21" s="20">
        <f>IFERROR(__xludf.DUMMYFUNCTION("""COMPUTED_VALUE"""),0.0)</f>
        <v>0</v>
      </c>
      <c r="T21" s="21">
        <f>IFERROR(__xludf.DUMMYFUNCTION("""COMPUTED_VALUE"""),0.0)</f>
        <v>0</v>
      </c>
      <c r="U21" s="20">
        <f>IFERROR(__xludf.DUMMYFUNCTION("""COMPUTED_VALUE"""),0.0)</f>
        <v>0</v>
      </c>
      <c r="V21" s="21">
        <f>IFERROR(__xludf.DUMMYFUNCTION("""COMPUTED_VALUE"""),0.0)</f>
        <v>0</v>
      </c>
      <c r="W21" s="20"/>
      <c r="X21" s="20"/>
      <c r="Y21" s="20"/>
      <c r="Z21" s="20">
        <f>IFERROR(__xludf.DUMMYFUNCTION("""COMPUTED_VALUE"""),22.0)</f>
        <v>22</v>
      </c>
      <c r="AA21" s="20">
        <f>IFERROR(__xludf.DUMMYFUNCTION("""COMPUTED_VALUE"""),0.0)</f>
        <v>0</v>
      </c>
      <c r="AB21" s="21">
        <f>IFERROR(__xludf.DUMMYFUNCTION("""COMPUTED_VALUE"""),0.0)</f>
        <v>0</v>
      </c>
    </row>
    <row r="22">
      <c r="A22" s="20">
        <f>IFERROR(__xludf.DUMMYFUNCTION("""COMPUTED_VALUE"""),3480000.0)</f>
        <v>3480000</v>
      </c>
      <c r="B22" s="20" t="str">
        <f>IFERROR(__xludf.DUMMYFUNCTION("""COMPUTED_VALUE"""),"Worcester")</f>
        <v>Worcester</v>
      </c>
      <c r="C22" s="20">
        <f>IFERROR(__xludf.DUMMYFUNCTION("""COMPUTED_VALUE"""),3480030.0)</f>
        <v>3480030</v>
      </c>
      <c r="D22" s="20" t="str">
        <f>IFERROR(__xludf.DUMMYFUNCTION("""COMPUTED_VALUE"""),"Woodland Academy")</f>
        <v>Woodland Academy</v>
      </c>
      <c r="E22" s="20" t="str">
        <f>IFERROR(__xludf.DUMMYFUNCTION("""COMPUTED_VALUE"""),"K")</f>
        <v>K</v>
      </c>
      <c r="F22" s="20" t="str">
        <f>IFERROR(__xludf.DUMMYFUNCTION("""COMPUTED_VALUE"""),"All")</f>
        <v>All</v>
      </c>
      <c r="G22" s="20">
        <f>IFERROR(__xludf.DUMMYFUNCTION("""COMPUTED_VALUE"""),60.0)</f>
        <v>60</v>
      </c>
      <c r="H22" s="20">
        <f>IFERROR(__xludf.DUMMYFUNCTION("""COMPUTED_VALUE"""),60.0)</f>
        <v>60</v>
      </c>
      <c r="I22" s="21">
        <f>IFERROR(__xludf.DUMMYFUNCTION("""COMPUTED_VALUE"""),1.0)</f>
        <v>1</v>
      </c>
      <c r="J22" s="20">
        <f>IFERROR(__xludf.DUMMYFUNCTION("""COMPUTED_VALUE"""),60.0)</f>
        <v>60</v>
      </c>
      <c r="K22" s="20">
        <f>IFERROR(__xludf.DUMMYFUNCTION("""COMPUTED_VALUE"""),43.0)</f>
        <v>43</v>
      </c>
      <c r="L22" s="21">
        <f>IFERROR(__xludf.DUMMYFUNCTION("""COMPUTED_VALUE"""),0.72)</f>
        <v>0.72</v>
      </c>
      <c r="M22" s="20">
        <f>IFERROR(__xludf.DUMMYFUNCTION("""COMPUTED_VALUE"""),12.0)</f>
        <v>12</v>
      </c>
      <c r="N22" s="21">
        <f>IFERROR(__xludf.DUMMYFUNCTION("""COMPUTED_VALUE"""),0.2)</f>
        <v>0.2</v>
      </c>
      <c r="O22" s="20">
        <f>IFERROR(__xludf.DUMMYFUNCTION("""COMPUTED_VALUE"""),5.0)</f>
        <v>5</v>
      </c>
      <c r="P22" s="21">
        <f>IFERROR(__xludf.DUMMYFUNCTION("""COMPUTED_VALUE"""),0.08)</f>
        <v>0.08</v>
      </c>
      <c r="Q22" s="20">
        <f>IFERROR(__xludf.DUMMYFUNCTION("""COMPUTED_VALUE"""),0.0)</f>
        <v>0</v>
      </c>
      <c r="R22" s="21">
        <f>IFERROR(__xludf.DUMMYFUNCTION("""COMPUTED_VALUE"""),0.0)</f>
        <v>0</v>
      </c>
      <c r="S22" s="20">
        <f>IFERROR(__xludf.DUMMYFUNCTION("""COMPUTED_VALUE"""),0.0)</f>
        <v>0</v>
      </c>
      <c r="T22" s="21">
        <f>IFERROR(__xludf.DUMMYFUNCTION("""COMPUTED_VALUE"""),0.0)</f>
        <v>0</v>
      </c>
      <c r="U22" s="20">
        <f>IFERROR(__xludf.DUMMYFUNCTION("""COMPUTED_VALUE"""),0.0)</f>
        <v>0</v>
      </c>
      <c r="V22" s="21">
        <f>IFERROR(__xludf.DUMMYFUNCTION("""COMPUTED_VALUE"""),0.0)</f>
        <v>0</v>
      </c>
      <c r="W22" s="20"/>
      <c r="X22" s="20"/>
      <c r="Y22" s="20"/>
      <c r="Z22" s="20">
        <f>IFERROR(__xludf.DUMMYFUNCTION("""COMPUTED_VALUE"""),60.0)</f>
        <v>60</v>
      </c>
      <c r="AA22" s="20">
        <f>IFERROR(__xludf.DUMMYFUNCTION("""COMPUTED_VALUE"""),0.0)</f>
        <v>0</v>
      </c>
      <c r="AB22" s="21">
        <f>IFERROR(__xludf.DUMMYFUNCTION("""COMPUTED_VALUE"""),0.0)</f>
        <v>0</v>
      </c>
    </row>
    <row r="23">
      <c r="A23" s="20">
        <f>IFERROR(__xludf.DUMMYFUNCTION("""COMPUTED_VALUE"""),3480000.0)</f>
        <v>3480000</v>
      </c>
      <c r="B23" s="20" t="str">
        <f>IFERROR(__xludf.DUMMYFUNCTION("""COMPUTED_VALUE"""),"Worcester")</f>
        <v>Worcester</v>
      </c>
      <c r="C23" s="20">
        <f>IFERROR(__xludf.DUMMYFUNCTION("""COMPUTED_VALUE"""),3480052.0)</f>
        <v>3480052</v>
      </c>
      <c r="D23" s="20" t="str">
        <f>IFERROR(__xludf.DUMMYFUNCTION("""COMPUTED_VALUE"""),"Chandler Magnet")</f>
        <v>Chandler Magnet</v>
      </c>
      <c r="E23" s="20" t="str">
        <f>IFERROR(__xludf.DUMMYFUNCTION("""COMPUTED_VALUE"""),"K")</f>
        <v>K</v>
      </c>
      <c r="F23" s="20" t="str">
        <f>IFERROR(__xludf.DUMMYFUNCTION("""COMPUTED_VALUE"""),"All")</f>
        <v>All</v>
      </c>
      <c r="G23" s="20">
        <f>IFERROR(__xludf.DUMMYFUNCTION("""COMPUTED_VALUE"""),39.0)</f>
        <v>39</v>
      </c>
      <c r="H23" s="20">
        <f>IFERROR(__xludf.DUMMYFUNCTION("""COMPUTED_VALUE"""),39.0)</f>
        <v>39</v>
      </c>
      <c r="I23" s="21">
        <f>IFERROR(__xludf.DUMMYFUNCTION("""COMPUTED_VALUE"""),1.0)</f>
        <v>1</v>
      </c>
      <c r="J23" s="20">
        <f>IFERROR(__xludf.DUMMYFUNCTION("""COMPUTED_VALUE"""),39.0)</f>
        <v>39</v>
      </c>
      <c r="K23" s="20">
        <f>IFERROR(__xludf.DUMMYFUNCTION("""COMPUTED_VALUE"""),25.0)</f>
        <v>25</v>
      </c>
      <c r="L23" s="21">
        <f>IFERROR(__xludf.DUMMYFUNCTION("""COMPUTED_VALUE"""),0.64)</f>
        <v>0.64</v>
      </c>
      <c r="M23" s="20">
        <f>IFERROR(__xludf.DUMMYFUNCTION("""COMPUTED_VALUE"""),6.0)</f>
        <v>6</v>
      </c>
      <c r="N23" s="21">
        <f>IFERROR(__xludf.DUMMYFUNCTION("""COMPUTED_VALUE"""),0.15)</f>
        <v>0.15</v>
      </c>
      <c r="O23" s="20">
        <f>IFERROR(__xludf.DUMMYFUNCTION("""COMPUTED_VALUE"""),4.0)</f>
        <v>4</v>
      </c>
      <c r="P23" s="21">
        <f>IFERROR(__xludf.DUMMYFUNCTION("""COMPUTED_VALUE"""),0.1)</f>
        <v>0.1</v>
      </c>
      <c r="Q23" s="20">
        <f>IFERROR(__xludf.DUMMYFUNCTION("""COMPUTED_VALUE"""),4.0)</f>
        <v>4</v>
      </c>
      <c r="R23" s="21">
        <f>IFERROR(__xludf.DUMMYFUNCTION("""COMPUTED_VALUE"""),0.1)</f>
        <v>0.1</v>
      </c>
      <c r="S23" s="20">
        <f>IFERROR(__xludf.DUMMYFUNCTION("""COMPUTED_VALUE"""),0.0)</f>
        <v>0</v>
      </c>
      <c r="T23" s="21">
        <f>IFERROR(__xludf.DUMMYFUNCTION("""COMPUTED_VALUE"""),0.0)</f>
        <v>0</v>
      </c>
      <c r="U23" s="20">
        <f>IFERROR(__xludf.DUMMYFUNCTION("""COMPUTED_VALUE"""),0.0)</f>
        <v>0</v>
      </c>
      <c r="V23" s="21">
        <f>IFERROR(__xludf.DUMMYFUNCTION("""COMPUTED_VALUE"""),0.0)</f>
        <v>0</v>
      </c>
      <c r="W23" s="20"/>
      <c r="X23" s="20"/>
      <c r="Y23" s="20"/>
      <c r="Z23" s="20">
        <f>IFERROR(__xludf.DUMMYFUNCTION("""COMPUTED_VALUE"""),39.0)</f>
        <v>39</v>
      </c>
      <c r="AA23" s="20">
        <f>IFERROR(__xludf.DUMMYFUNCTION("""COMPUTED_VALUE"""),0.0)</f>
        <v>0</v>
      </c>
      <c r="AB23" s="21">
        <f>IFERROR(__xludf.DUMMYFUNCTION("""COMPUTED_VALUE"""),0.0)</f>
        <v>0</v>
      </c>
    </row>
    <row r="24">
      <c r="A24" s="20">
        <f>IFERROR(__xludf.DUMMYFUNCTION("""COMPUTED_VALUE"""),3480000.0)</f>
        <v>3480000</v>
      </c>
      <c r="B24" s="20" t="str">
        <f>IFERROR(__xludf.DUMMYFUNCTION("""COMPUTED_VALUE"""),"Worcester")</f>
        <v>Worcester</v>
      </c>
      <c r="C24" s="20">
        <f>IFERROR(__xludf.DUMMYFUNCTION("""COMPUTED_VALUE"""),3480220.0)</f>
        <v>3480220</v>
      </c>
      <c r="D24" s="20" t="str">
        <f>IFERROR(__xludf.DUMMYFUNCTION("""COMPUTED_VALUE"""),"Roosevelt")</f>
        <v>Roosevelt</v>
      </c>
      <c r="E24" s="20" t="str">
        <f>IFERROR(__xludf.DUMMYFUNCTION("""COMPUTED_VALUE"""),"K")</f>
        <v>K</v>
      </c>
      <c r="F24" s="20" t="str">
        <f>IFERROR(__xludf.DUMMYFUNCTION("""COMPUTED_VALUE"""),"All")</f>
        <v>All</v>
      </c>
      <c r="G24" s="20">
        <f>IFERROR(__xludf.DUMMYFUNCTION("""COMPUTED_VALUE"""),27.0)</f>
        <v>27</v>
      </c>
      <c r="H24" s="20">
        <f>IFERROR(__xludf.DUMMYFUNCTION("""COMPUTED_VALUE"""),26.0)</f>
        <v>26</v>
      </c>
      <c r="I24" s="21">
        <f>IFERROR(__xludf.DUMMYFUNCTION("""COMPUTED_VALUE"""),0.96)</f>
        <v>0.96</v>
      </c>
      <c r="J24" s="20">
        <f>IFERROR(__xludf.DUMMYFUNCTION("""COMPUTED_VALUE"""),26.0)</f>
        <v>26</v>
      </c>
      <c r="K24" s="20">
        <f>IFERROR(__xludf.DUMMYFUNCTION("""COMPUTED_VALUE"""),14.0)</f>
        <v>14</v>
      </c>
      <c r="L24" s="21">
        <f>IFERROR(__xludf.DUMMYFUNCTION("""COMPUTED_VALUE"""),0.54)</f>
        <v>0.54</v>
      </c>
      <c r="M24" s="20">
        <f>IFERROR(__xludf.DUMMYFUNCTION("""COMPUTED_VALUE"""),5.0)</f>
        <v>5</v>
      </c>
      <c r="N24" s="21">
        <f>IFERROR(__xludf.DUMMYFUNCTION("""COMPUTED_VALUE"""),0.19)</f>
        <v>0.19</v>
      </c>
      <c r="O24" s="20">
        <f>IFERROR(__xludf.DUMMYFUNCTION("""COMPUTED_VALUE"""),2.0)</f>
        <v>2</v>
      </c>
      <c r="P24" s="21">
        <f>IFERROR(__xludf.DUMMYFUNCTION("""COMPUTED_VALUE"""),0.08)</f>
        <v>0.08</v>
      </c>
      <c r="Q24" s="20">
        <f>IFERROR(__xludf.DUMMYFUNCTION("""COMPUTED_VALUE"""),5.0)</f>
        <v>5</v>
      </c>
      <c r="R24" s="21">
        <f>IFERROR(__xludf.DUMMYFUNCTION("""COMPUTED_VALUE"""),0.19)</f>
        <v>0.19</v>
      </c>
      <c r="S24" s="20">
        <f>IFERROR(__xludf.DUMMYFUNCTION("""COMPUTED_VALUE"""),0.0)</f>
        <v>0</v>
      </c>
      <c r="T24" s="21">
        <f>IFERROR(__xludf.DUMMYFUNCTION("""COMPUTED_VALUE"""),0.0)</f>
        <v>0</v>
      </c>
      <c r="U24" s="20">
        <f>IFERROR(__xludf.DUMMYFUNCTION("""COMPUTED_VALUE"""),0.0)</f>
        <v>0</v>
      </c>
      <c r="V24" s="21">
        <f>IFERROR(__xludf.DUMMYFUNCTION("""COMPUTED_VALUE"""),0.0)</f>
        <v>0</v>
      </c>
      <c r="W24" s="20"/>
      <c r="X24" s="20"/>
      <c r="Y24" s="20"/>
      <c r="Z24" s="20">
        <f>IFERROR(__xludf.DUMMYFUNCTION("""COMPUTED_VALUE"""),27.0)</f>
        <v>27</v>
      </c>
      <c r="AA24" s="20">
        <f>IFERROR(__xludf.DUMMYFUNCTION("""COMPUTED_VALUE"""),2.0)</f>
        <v>2</v>
      </c>
      <c r="AB24" s="21">
        <f>IFERROR(__xludf.DUMMYFUNCTION("""COMPUTED_VALUE"""),0.07)</f>
        <v>0.07</v>
      </c>
    </row>
    <row r="25">
      <c r="L25" s="22">
        <f>AVERAGE(L7:L24)</f>
        <v>0.6394444444</v>
      </c>
      <c r="N25" s="22">
        <f>AVERAGE(N7:N24)</f>
        <v>0.1894444444</v>
      </c>
      <c r="P25" s="22">
        <f>AVERAGE(P7:P24)</f>
        <v>0.08888888889</v>
      </c>
      <c r="R25" s="22">
        <f>AVERAGE(R7:R24)</f>
        <v>0.07833333333</v>
      </c>
      <c r="T25" s="22">
        <f>AVERAGE(T7:T24)</f>
        <v>0.003888888889</v>
      </c>
      <c r="V25" s="22">
        <f>AVERAGE(V7:V24)</f>
        <v>0</v>
      </c>
    </row>
    <row r="27">
      <c r="L27" s="21">
        <f>MEDIAN(L7:L24)</f>
        <v>0.63</v>
      </c>
      <c r="N27" s="21">
        <f>MEDIAN(N7:N24)</f>
        <v>0.175</v>
      </c>
      <c r="P27" s="21">
        <f>MEDIAN(P7:P24)</f>
        <v>0.085</v>
      </c>
      <c r="R27" s="21">
        <f>MEDIAN(R7:R24)</f>
        <v>0.055</v>
      </c>
      <c r="T27" s="21">
        <f>MEDIAN(T7:T24)</f>
        <v>0</v>
      </c>
      <c r="V27" s="21">
        <f>MEDIAN(V7:V24)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42.86"/>
    <col customWidth="1" min="5" max="5" width="7.86"/>
    <col customWidth="1" min="6" max="6" width="18.43"/>
    <col customWidth="1" min="7" max="7" width="10.43"/>
    <col customWidth="1" min="8" max="8" width="22.86"/>
    <col customWidth="1" min="9" max="9" width="16.71"/>
    <col customWidth="1" min="10" max="10" width="20.43"/>
    <col customWidth="1" min="11" max="11" width="9.57"/>
    <col customWidth="1" min="12" max="12" width="9.29"/>
    <col customWidth="1" min="13" max="14" width="9.57"/>
    <col customWidth="1" min="15" max="15" width="9.86"/>
    <col customWidth="1" min="16" max="16" width="10.43"/>
    <col customWidth="1" min="17" max="17" width="9.57"/>
    <col customWidth="1" min="18" max="18" width="10.86"/>
    <col customWidth="1" min="19" max="19" width="9.43"/>
    <col customWidth="1" min="20" max="20" width="10.29"/>
    <col customWidth="1" min="21" max="21" width="10.14"/>
    <col customWidth="1" min="22" max="22" width="10.71"/>
    <col customWidth="1" min="23" max="23" width="20.14"/>
    <col customWidth="1" min="24" max="24" width="17.0"/>
    <col customWidth="1" min="25" max="25" width="17.57"/>
    <col customWidth="1" min="26" max="26" width="29.86"/>
    <col customWidth="1" min="27" max="27" width="19.71"/>
    <col customWidth="1" min="28" max="28" width="20.29"/>
  </cols>
  <sheetData>
    <row r="3">
      <c r="B3" s="19" t="s">
        <v>4</v>
      </c>
      <c r="C3" s="23">
        <v>44198.0</v>
      </c>
    </row>
    <row r="6">
      <c r="A6" s="1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3" t="s">
        <v>8</v>
      </c>
      <c r="J6" s="3" t="s">
        <v>9</v>
      </c>
      <c r="K6" s="2" t="s">
        <v>10</v>
      </c>
      <c r="L6" s="4" t="s">
        <v>11</v>
      </c>
      <c r="M6" s="2" t="s">
        <v>12</v>
      </c>
      <c r="N6" s="4" t="s">
        <v>13</v>
      </c>
      <c r="O6" s="2" t="s">
        <v>14</v>
      </c>
      <c r="P6" s="4" t="s">
        <v>15</v>
      </c>
      <c r="Q6" s="2" t="s">
        <v>16</v>
      </c>
      <c r="R6" s="4" t="s">
        <v>17</v>
      </c>
      <c r="S6" s="2" t="s">
        <v>18</v>
      </c>
      <c r="T6" s="4" t="s">
        <v>19</v>
      </c>
      <c r="U6" s="2" t="s">
        <v>20</v>
      </c>
      <c r="V6" s="4" t="s">
        <v>21</v>
      </c>
      <c r="W6" s="2" t="s">
        <v>22</v>
      </c>
      <c r="X6" s="5" t="s">
        <v>23</v>
      </c>
      <c r="Y6" s="6" t="s">
        <v>24</v>
      </c>
      <c r="Z6" s="5" t="s">
        <v>25</v>
      </c>
      <c r="AA6" s="7" t="s">
        <v>26</v>
      </c>
      <c r="AB6" s="8" t="s">
        <v>27</v>
      </c>
    </row>
    <row r="7">
      <c r="A7" s="20">
        <f>IFERROR(__xludf.DUMMYFUNCTION("FILTER('ACCESS DLTB'!A2:AB3061,'ACCESS DLTB'!E2:E3061=C3)"),80000.0)</f>
        <v>80000</v>
      </c>
      <c r="B7" s="20" t="str">
        <f>IFERROR(__xludf.DUMMYFUNCTION("""COMPUTED_VALUE"""),"Amherst")</f>
        <v>Amherst</v>
      </c>
      <c r="C7" s="20">
        <f>IFERROR(__xludf.DUMMYFUNCTION("""COMPUTED_VALUE"""),80020.0)</f>
        <v>80020</v>
      </c>
      <c r="D7" s="20" t="str">
        <f>IFERROR(__xludf.DUMMYFUNCTION("""COMPUTED_VALUE"""),"Fort River Elementary")</f>
        <v>Fort River Elementary</v>
      </c>
      <c r="E7" s="24">
        <f>IFERROR(__xludf.DUMMYFUNCTION("""COMPUTED_VALUE"""),44198.0)</f>
        <v>44198</v>
      </c>
      <c r="F7" s="20" t="str">
        <f>IFERROR(__xludf.DUMMYFUNCTION("""COMPUTED_VALUE"""),"All")</f>
        <v>All</v>
      </c>
      <c r="G7" s="20">
        <f>IFERROR(__xludf.DUMMYFUNCTION("""COMPUTED_VALUE"""),19.0)</f>
        <v>19</v>
      </c>
      <c r="H7" s="20">
        <f>IFERROR(__xludf.DUMMYFUNCTION("""COMPUTED_VALUE"""),19.0)</f>
        <v>19</v>
      </c>
      <c r="I7" s="21">
        <f>IFERROR(__xludf.DUMMYFUNCTION("""COMPUTED_VALUE"""),1.0)</f>
        <v>1</v>
      </c>
      <c r="J7" s="20">
        <f>IFERROR(__xludf.DUMMYFUNCTION("""COMPUTED_VALUE"""),19.0)</f>
        <v>19</v>
      </c>
      <c r="K7" s="20">
        <f>IFERROR(__xludf.DUMMYFUNCTION("""COMPUTED_VALUE"""),4.0)</f>
        <v>4</v>
      </c>
      <c r="L7" s="21">
        <f>IFERROR(__xludf.DUMMYFUNCTION("""COMPUTED_VALUE"""),0.21)</f>
        <v>0.21</v>
      </c>
      <c r="M7" s="20">
        <f>IFERROR(__xludf.DUMMYFUNCTION("""COMPUTED_VALUE"""),7.0)</f>
        <v>7</v>
      </c>
      <c r="N7" s="21">
        <f>IFERROR(__xludf.DUMMYFUNCTION("""COMPUTED_VALUE"""),0.37)</f>
        <v>0.37</v>
      </c>
      <c r="O7" s="20">
        <f>IFERROR(__xludf.DUMMYFUNCTION("""COMPUTED_VALUE"""),8.0)</f>
        <v>8</v>
      </c>
      <c r="P7" s="21">
        <f>IFERROR(__xludf.DUMMYFUNCTION("""COMPUTED_VALUE"""),0.42)</f>
        <v>0.42</v>
      </c>
      <c r="Q7" s="20">
        <f>IFERROR(__xludf.DUMMYFUNCTION("""COMPUTED_VALUE"""),0.0)</f>
        <v>0</v>
      </c>
      <c r="R7" s="21">
        <f>IFERROR(__xludf.DUMMYFUNCTION("""COMPUTED_VALUE"""),0.0)</f>
        <v>0</v>
      </c>
      <c r="S7" s="20">
        <f>IFERROR(__xludf.DUMMYFUNCTION("""COMPUTED_VALUE"""),0.0)</f>
        <v>0</v>
      </c>
      <c r="T7" s="21">
        <f>IFERROR(__xludf.DUMMYFUNCTION("""COMPUTED_VALUE"""),0.0)</f>
        <v>0</v>
      </c>
      <c r="U7" s="20">
        <f>IFERROR(__xludf.DUMMYFUNCTION("""COMPUTED_VALUE"""),0.0)</f>
        <v>0</v>
      </c>
      <c r="V7" s="21">
        <f>IFERROR(__xludf.DUMMYFUNCTION("""COMPUTED_VALUE"""),0.0)</f>
        <v>0</v>
      </c>
      <c r="W7" s="20">
        <f>IFERROR(__xludf.DUMMYFUNCTION("""COMPUTED_VALUE"""),18.0)</f>
        <v>18</v>
      </c>
      <c r="X7" s="20">
        <f>IFERROR(__xludf.DUMMYFUNCTION("""COMPUTED_VALUE"""),6.0)</f>
        <v>6</v>
      </c>
      <c r="Y7" s="21">
        <f>IFERROR(__xludf.DUMMYFUNCTION("""COMPUTED_VALUE"""),0.33)</f>
        <v>0.33</v>
      </c>
      <c r="Z7" s="20">
        <f>IFERROR(__xludf.DUMMYFUNCTION("""COMPUTED_VALUE"""),19.0)</f>
        <v>19</v>
      </c>
      <c r="AA7" s="20">
        <f>IFERROR(__xludf.DUMMYFUNCTION("""COMPUTED_VALUE"""),0.0)</f>
        <v>0</v>
      </c>
      <c r="AB7" s="21">
        <f>IFERROR(__xludf.DUMMYFUNCTION("""COMPUTED_VALUE"""),0.0)</f>
        <v>0</v>
      </c>
    </row>
    <row r="8">
      <c r="A8" s="20">
        <f>IFERROR(__xludf.DUMMYFUNCTION("""COMPUTED_VALUE"""),350000.0)</f>
        <v>350000</v>
      </c>
      <c r="B8" s="20" t="str">
        <f>IFERROR(__xludf.DUMMYFUNCTION("""COMPUTED_VALUE"""),"Boston")</f>
        <v>Boston</v>
      </c>
      <c r="C8" s="20">
        <f>IFERROR(__xludf.DUMMYFUNCTION("""COMPUTED_VALUE"""),350016.0)</f>
        <v>350016</v>
      </c>
      <c r="D8" s="20" t="str">
        <f>IFERROR(__xludf.DUMMYFUNCTION("""COMPUTED_VALUE"""),"Mattahunt Elementary School")</f>
        <v>Mattahunt Elementary School</v>
      </c>
      <c r="E8" s="24">
        <f>IFERROR(__xludf.DUMMYFUNCTION("""COMPUTED_VALUE"""),44198.0)</f>
        <v>44198</v>
      </c>
      <c r="F8" s="20" t="str">
        <f>IFERROR(__xludf.DUMMYFUNCTION("""COMPUTED_VALUE"""),"All")</f>
        <v>All</v>
      </c>
      <c r="G8" s="20">
        <f>IFERROR(__xludf.DUMMYFUNCTION("""COMPUTED_VALUE"""),59.0)</f>
        <v>59</v>
      </c>
      <c r="H8" s="20">
        <f>IFERROR(__xludf.DUMMYFUNCTION("""COMPUTED_VALUE"""),59.0)</f>
        <v>59</v>
      </c>
      <c r="I8" s="21">
        <f>IFERROR(__xludf.DUMMYFUNCTION("""COMPUTED_VALUE"""),1.0)</f>
        <v>1</v>
      </c>
      <c r="J8" s="20">
        <f>IFERROR(__xludf.DUMMYFUNCTION("""COMPUTED_VALUE"""),51.0)</f>
        <v>51</v>
      </c>
      <c r="K8" s="20">
        <f>IFERROR(__xludf.DUMMYFUNCTION("""COMPUTED_VALUE"""),7.0)</f>
        <v>7</v>
      </c>
      <c r="L8" s="21">
        <f>IFERROR(__xludf.DUMMYFUNCTION("""COMPUTED_VALUE"""),0.14)</f>
        <v>0.14</v>
      </c>
      <c r="M8" s="20">
        <f>IFERROR(__xludf.DUMMYFUNCTION("""COMPUTED_VALUE"""),14.0)</f>
        <v>14</v>
      </c>
      <c r="N8" s="21">
        <f>IFERROR(__xludf.DUMMYFUNCTION("""COMPUTED_VALUE"""),0.27)</f>
        <v>0.27</v>
      </c>
      <c r="O8" s="20">
        <f>IFERROR(__xludf.DUMMYFUNCTION("""COMPUTED_VALUE"""),19.0)</f>
        <v>19</v>
      </c>
      <c r="P8" s="21">
        <f>IFERROR(__xludf.DUMMYFUNCTION("""COMPUTED_VALUE"""),0.37)</f>
        <v>0.37</v>
      </c>
      <c r="Q8" s="20">
        <f>IFERROR(__xludf.DUMMYFUNCTION("""COMPUTED_VALUE"""),11.0)</f>
        <v>11</v>
      </c>
      <c r="R8" s="21">
        <f>IFERROR(__xludf.DUMMYFUNCTION("""COMPUTED_VALUE"""),0.22)</f>
        <v>0.22</v>
      </c>
      <c r="S8" s="20">
        <f>IFERROR(__xludf.DUMMYFUNCTION("""COMPUTED_VALUE"""),0.0)</f>
        <v>0</v>
      </c>
      <c r="T8" s="21">
        <f>IFERROR(__xludf.DUMMYFUNCTION("""COMPUTED_VALUE"""),0.0)</f>
        <v>0</v>
      </c>
      <c r="U8" s="20">
        <f>IFERROR(__xludf.DUMMYFUNCTION("""COMPUTED_VALUE"""),0.0)</f>
        <v>0</v>
      </c>
      <c r="V8" s="21">
        <f>IFERROR(__xludf.DUMMYFUNCTION("""COMPUTED_VALUE"""),0.0)</f>
        <v>0</v>
      </c>
      <c r="W8" s="20">
        <f>IFERROR(__xludf.DUMMYFUNCTION("""COMPUTED_VALUE"""),51.0)</f>
        <v>51</v>
      </c>
      <c r="X8" s="20">
        <f>IFERROR(__xludf.DUMMYFUNCTION("""COMPUTED_VALUE"""),37.0)</f>
        <v>37</v>
      </c>
      <c r="Y8" s="21">
        <f>IFERROR(__xludf.DUMMYFUNCTION("""COMPUTED_VALUE"""),0.73)</f>
        <v>0.73</v>
      </c>
      <c r="Z8" s="20">
        <f>IFERROR(__xludf.DUMMYFUNCTION("""COMPUTED_VALUE"""),59.0)</f>
        <v>59</v>
      </c>
      <c r="AA8" s="20">
        <f>IFERROR(__xludf.DUMMYFUNCTION("""COMPUTED_VALUE"""),9.0)</f>
        <v>9</v>
      </c>
      <c r="AB8" s="21">
        <f>IFERROR(__xludf.DUMMYFUNCTION("""COMPUTED_VALUE"""),0.15)</f>
        <v>0.15</v>
      </c>
    </row>
    <row r="9">
      <c r="A9" s="20">
        <f>IFERROR(__xludf.DUMMYFUNCTION("""COMPUTED_VALUE"""),350000.0)</f>
        <v>350000</v>
      </c>
      <c r="B9" s="20" t="str">
        <f>IFERROR(__xludf.DUMMYFUNCTION("""COMPUTED_VALUE"""),"Boston")</f>
        <v>Boston</v>
      </c>
      <c r="C9" s="20">
        <f>IFERROR(__xludf.DUMMYFUNCTION("""COMPUTED_VALUE"""),350182.0)</f>
        <v>350182</v>
      </c>
      <c r="D9" s="20" t="str">
        <f>IFERROR(__xludf.DUMMYFUNCTION("""COMPUTED_VALUE"""),"Joseph J Hurley")</f>
        <v>Joseph J Hurley</v>
      </c>
      <c r="E9" s="24">
        <f>IFERROR(__xludf.DUMMYFUNCTION("""COMPUTED_VALUE"""),44198.0)</f>
        <v>44198</v>
      </c>
      <c r="F9" s="20" t="str">
        <f>IFERROR(__xludf.DUMMYFUNCTION("""COMPUTED_VALUE"""),"All")</f>
        <v>All</v>
      </c>
      <c r="G9" s="20">
        <f>IFERROR(__xludf.DUMMYFUNCTION("""COMPUTED_VALUE"""),59.0)</f>
        <v>59</v>
      </c>
      <c r="H9" s="20">
        <f>IFERROR(__xludf.DUMMYFUNCTION("""COMPUTED_VALUE"""),59.0)</f>
        <v>59</v>
      </c>
      <c r="I9" s="21">
        <f>IFERROR(__xludf.DUMMYFUNCTION("""COMPUTED_VALUE"""),1.0)</f>
        <v>1</v>
      </c>
      <c r="J9" s="20">
        <f>IFERROR(__xludf.DUMMYFUNCTION("""COMPUTED_VALUE"""),59.0)</f>
        <v>59</v>
      </c>
      <c r="K9" s="20">
        <f>IFERROR(__xludf.DUMMYFUNCTION("""COMPUTED_VALUE"""),4.0)</f>
        <v>4</v>
      </c>
      <c r="L9" s="21">
        <f>IFERROR(__xludf.DUMMYFUNCTION("""COMPUTED_VALUE"""),0.07)</f>
        <v>0.07</v>
      </c>
      <c r="M9" s="20">
        <f>IFERROR(__xludf.DUMMYFUNCTION("""COMPUTED_VALUE"""),19.0)</f>
        <v>19</v>
      </c>
      <c r="N9" s="21">
        <f>IFERROR(__xludf.DUMMYFUNCTION("""COMPUTED_VALUE"""),0.32)</f>
        <v>0.32</v>
      </c>
      <c r="O9" s="20">
        <f>IFERROR(__xludf.DUMMYFUNCTION("""COMPUTED_VALUE"""),21.0)</f>
        <v>21</v>
      </c>
      <c r="P9" s="21">
        <f>IFERROR(__xludf.DUMMYFUNCTION("""COMPUTED_VALUE"""),0.36)</f>
        <v>0.36</v>
      </c>
      <c r="Q9" s="20">
        <f>IFERROR(__xludf.DUMMYFUNCTION("""COMPUTED_VALUE"""),14.0)</f>
        <v>14</v>
      </c>
      <c r="R9" s="21">
        <f>IFERROR(__xludf.DUMMYFUNCTION("""COMPUTED_VALUE"""),0.24)</f>
        <v>0.24</v>
      </c>
      <c r="S9" s="20">
        <f>IFERROR(__xludf.DUMMYFUNCTION("""COMPUTED_VALUE"""),1.0)</f>
        <v>1</v>
      </c>
      <c r="T9" s="21">
        <f>IFERROR(__xludf.DUMMYFUNCTION("""COMPUTED_VALUE"""),0.02)</f>
        <v>0.02</v>
      </c>
      <c r="U9" s="20">
        <f>IFERROR(__xludf.DUMMYFUNCTION("""COMPUTED_VALUE"""),0.0)</f>
        <v>0</v>
      </c>
      <c r="V9" s="21">
        <f>IFERROR(__xludf.DUMMYFUNCTION("""COMPUTED_VALUE"""),0.0)</f>
        <v>0</v>
      </c>
      <c r="W9" s="20">
        <f>IFERROR(__xludf.DUMMYFUNCTION("""COMPUTED_VALUE"""),55.0)</f>
        <v>55</v>
      </c>
      <c r="X9" s="20">
        <f>IFERROR(__xludf.DUMMYFUNCTION("""COMPUTED_VALUE"""),35.0)</f>
        <v>35</v>
      </c>
      <c r="Y9" s="21">
        <f>IFERROR(__xludf.DUMMYFUNCTION("""COMPUTED_VALUE"""),0.64)</f>
        <v>0.64</v>
      </c>
      <c r="Z9" s="20">
        <f>IFERROR(__xludf.DUMMYFUNCTION("""COMPUTED_VALUE"""),59.0)</f>
        <v>59</v>
      </c>
      <c r="AA9" s="20">
        <f>IFERROR(__xludf.DUMMYFUNCTION("""COMPUTED_VALUE"""),10.0)</f>
        <v>10</v>
      </c>
      <c r="AB9" s="21">
        <f>IFERROR(__xludf.DUMMYFUNCTION("""COMPUTED_VALUE"""),0.17)</f>
        <v>0.17</v>
      </c>
    </row>
    <row r="10">
      <c r="A10" s="20">
        <f>IFERROR(__xludf.DUMMYFUNCTION("""COMPUTED_VALUE"""),350000.0)</f>
        <v>350000</v>
      </c>
      <c r="B10" s="20" t="str">
        <f>IFERROR(__xludf.DUMMYFUNCTION("""COMPUTED_VALUE"""),"Boston")</f>
        <v>Boston</v>
      </c>
      <c r="C10" s="20">
        <f>IFERROR(__xludf.DUMMYFUNCTION("""COMPUTED_VALUE"""),350308.0)</f>
        <v>350308</v>
      </c>
      <c r="D10" s="20" t="str">
        <f>IFERROR(__xludf.DUMMYFUNCTION("""COMPUTED_VALUE"""),"Sarah Greenwood")</f>
        <v>Sarah Greenwood</v>
      </c>
      <c r="E10" s="24">
        <f>IFERROR(__xludf.DUMMYFUNCTION("""COMPUTED_VALUE"""),44198.0)</f>
        <v>44198</v>
      </c>
      <c r="F10" s="20" t="str">
        <f>IFERROR(__xludf.DUMMYFUNCTION("""COMPUTED_VALUE"""),"All")</f>
        <v>All</v>
      </c>
      <c r="G10" s="20">
        <f>IFERROR(__xludf.DUMMYFUNCTION("""COMPUTED_VALUE"""),66.0)</f>
        <v>66</v>
      </c>
      <c r="H10" s="20">
        <f>IFERROR(__xludf.DUMMYFUNCTION("""COMPUTED_VALUE"""),64.0)</f>
        <v>64</v>
      </c>
      <c r="I10" s="21">
        <f>IFERROR(__xludf.DUMMYFUNCTION("""COMPUTED_VALUE"""),0.97)</f>
        <v>0.97</v>
      </c>
      <c r="J10" s="20">
        <f>IFERROR(__xludf.DUMMYFUNCTION("""COMPUTED_VALUE"""),64.0)</f>
        <v>64</v>
      </c>
      <c r="K10" s="20">
        <f>IFERROR(__xludf.DUMMYFUNCTION("""COMPUTED_VALUE"""),18.0)</f>
        <v>18</v>
      </c>
      <c r="L10" s="21">
        <f>IFERROR(__xludf.DUMMYFUNCTION("""COMPUTED_VALUE"""),0.28)</f>
        <v>0.28</v>
      </c>
      <c r="M10" s="20">
        <f>IFERROR(__xludf.DUMMYFUNCTION("""COMPUTED_VALUE"""),25.0)</f>
        <v>25</v>
      </c>
      <c r="N10" s="21">
        <f>IFERROR(__xludf.DUMMYFUNCTION("""COMPUTED_VALUE"""),0.39)</f>
        <v>0.39</v>
      </c>
      <c r="O10" s="20">
        <f>IFERROR(__xludf.DUMMYFUNCTION("""COMPUTED_VALUE"""),20.0)</f>
        <v>20</v>
      </c>
      <c r="P10" s="21">
        <f>IFERROR(__xludf.DUMMYFUNCTION("""COMPUTED_VALUE"""),0.31)</f>
        <v>0.31</v>
      </c>
      <c r="Q10" s="20">
        <f>IFERROR(__xludf.DUMMYFUNCTION("""COMPUTED_VALUE"""),1.0)</f>
        <v>1</v>
      </c>
      <c r="R10" s="21">
        <f>IFERROR(__xludf.DUMMYFUNCTION("""COMPUTED_VALUE"""),0.02)</f>
        <v>0.02</v>
      </c>
      <c r="S10" s="20">
        <f>IFERROR(__xludf.DUMMYFUNCTION("""COMPUTED_VALUE"""),0.0)</f>
        <v>0</v>
      </c>
      <c r="T10" s="21">
        <f>IFERROR(__xludf.DUMMYFUNCTION("""COMPUTED_VALUE"""),0.0)</f>
        <v>0</v>
      </c>
      <c r="U10" s="20">
        <f>IFERROR(__xludf.DUMMYFUNCTION("""COMPUTED_VALUE"""),0.0)</f>
        <v>0</v>
      </c>
      <c r="V10" s="21">
        <f>IFERROR(__xludf.DUMMYFUNCTION("""COMPUTED_VALUE"""),0.0)</f>
        <v>0</v>
      </c>
      <c r="W10" s="20">
        <f>IFERROR(__xludf.DUMMYFUNCTION("""COMPUTED_VALUE"""),46.0)</f>
        <v>46</v>
      </c>
      <c r="X10" s="20">
        <f>IFERROR(__xludf.DUMMYFUNCTION("""COMPUTED_VALUE"""),19.0)</f>
        <v>19</v>
      </c>
      <c r="Y10" s="21">
        <f>IFERROR(__xludf.DUMMYFUNCTION("""COMPUTED_VALUE"""),0.41)</f>
        <v>0.41</v>
      </c>
      <c r="Z10" s="20">
        <f>IFERROR(__xludf.DUMMYFUNCTION("""COMPUTED_VALUE"""),66.0)</f>
        <v>66</v>
      </c>
      <c r="AA10" s="20">
        <f>IFERROR(__xludf.DUMMYFUNCTION("""COMPUTED_VALUE"""),0.0)</f>
        <v>0</v>
      </c>
      <c r="AB10" s="21">
        <f>IFERROR(__xludf.DUMMYFUNCTION("""COMPUTED_VALUE"""),0.0)</f>
        <v>0</v>
      </c>
    </row>
    <row r="11">
      <c r="A11" s="20">
        <f>IFERROR(__xludf.DUMMYFUNCTION("""COMPUTED_VALUE"""),350000.0)</f>
        <v>350000</v>
      </c>
      <c r="B11" s="20" t="str">
        <f>IFERROR(__xludf.DUMMYFUNCTION("""COMPUTED_VALUE"""),"Boston")</f>
        <v>Boston</v>
      </c>
      <c r="C11" s="20">
        <f>IFERROR(__xludf.DUMMYFUNCTION("""COMPUTED_VALUE"""),350656.0)</f>
        <v>350656</v>
      </c>
      <c r="D11" s="20" t="str">
        <f>IFERROR(__xludf.DUMMYFUNCTION("""COMPUTED_VALUE"""),"Mario Umana Academy")</f>
        <v>Mario Umana Academy</v>
      </c>
      <c r="E11" s="24">
        <f>IFERROR(__xludf.DUMMYFUNCTION("""COMPUTED_VALUE"""),44198.0)</f>
        <v>44198</v>
      </c>
      <c r="F11" s="20" t="str">
        <f>IFERROR(__xludf.DUMMYFUNCTION("""COMPUTED_VALUE"""),"All")</f>
        <v>All</v>
      </c>
      <c r="G11" s="20">
        <f>IFERROR(__xludf.DUMMYFUNCTION("""COMPUTED_VALUE"""),110.0)</f>
        <v>110</v>
      </c>
      <c r="H11" s="20">
        <f>IFERROR(__xludf.DUMMYFUNCTION("""COMPUTED_VALUE"""),110.0)</f>
        <v>110</v>
      </c>
      <c r="I11" s="21">
        <f>IFERROR(__xludf.DUMMYFUNCTION("""COMPUTED_VALUE"""),1.0)</f>
        <v>1</v>
      </c>
      <c r="J11" s="20">
        <f>IFERROR(__xludf.DUMMYFUNCTION("""COMPUTED_VALUE"""),104.0)</f>
        <v>104</v>
      </c>
      <c r="K11" s="20">
        <f>IFERROR(__xludf.DUMMYFUNCTION("""COMPUTED_VALUE"""),15.0)</f>
        <v>15</v>
      </c>
      <c r="L11" s="21">
        <f>IFERROR(__xludf.DUMMYFUNCTION("""COMPUTED_VALUE"""),0.14)</f>
        <v>0.14</v>
      </c>
      <c r="M11" s="20">
        <f>IFERROR(__xludf.DUMMYFUNCTION("""COMPUTED_VALUE"""),41.0)</f>
        <v>41</v>
      </c>
      <c r="N11" s="21">
        <f>IFERROR(__xludf.DUMMYFUNCTION("""COMPUTED_VALUE"""),0.39)</f>
        <v>0.39</v>
      </c>
      <c r="O11" s="20">
        <f>IFERROR(__xludf.DUMMYFUNCTION("""COMPUTED_VALUE"""),35.0)</f>
        <v>35</v>
      </c>
      <c r="P11" s="21">
        <f>IFERROR(__xludf.DUMMYFUNCTION("""COMPUTED_VALUE"""),0.34)</f>
        <v>0.34</v>
      </c>
      <c r="Q11" s="20">
        <f>IFERROR(__xludf.DUMMYFUNCTION("""COMPUTED_VALUE"""),13.0)</f>
        <v>13</v>
      </c>
      <c r="R11" s="21">
        <f>IFERROR(__xludf.DUMMYFUNCTION("""COMPUTED_VALUE"""),0.13)</f>
        <v>0.13</v>
      </c>
      <c r="S11" s="20">
        <f>IFERROR(__xludf.DUMMYFUNCTION("""COMPUTED_VALUE"""),0.0)</f>
        <v>0</v>
      </c>
      <c r="T11" s="21">
        <f>IFERROR(__xludf.DUMMYFUNCTION("""COMPUTED_VALUE"""),0.0)</f>
        <v>0</v>
      </c>
      <c r="U11" s="20">
        <f>IFERROR(__xludf.DUMMYFUNCTION("""COMPUTED_VALUE"""),0.0)</f>
        <v>0</v>
      </c>
      <c r="V11" s="21">
        <f>IFERROR(__xludf.DUMMYFUNCTION("""COMPUTED_VALUE"""),0.0)</f>
        <v>0</v>
      </c>
      <c r="W11" s="20">
        <f>IFERROR(__xludf.DUMMYFUNCTION("""COMPUTED_VALUE"""),97.0)</f>
        <v>97</v>
      </c>
      <c r="X11" s="20">
        <f>IFERROR(__xludf.DUMMYFUNCTION("""COMPUTED_VALUE"""),50.0)</f>
        <v>50</v>
      </c>
      <c r="Y11" s="21">
        <f>IFERROR(__xludf.DUMMYFUNCTION("""COMPUTED_VALUE"""),0.52)</f>
        <v>0.52</v>
      </c>
      <c r="Z11" s="20">
        <f>IFERROR(__xludf.DUMMYFUNCTION("""COMPUTED_VALUE"""),110.0)</f>
        <v>110</v>
      </c>
      <c r="AA11" s="20">
        <f>IFERROR(__xludf.DUMMYFUNCTION("""COMPUTED_VALUE"""),5.0)</f>
        <v>5</v>
      </c>
      <c r="AB11" s="21">
        <f>IFERROR(__xludf.DUMMYFUNCTION("""COMPUTED_VALUE"""),0.05)</f>
        <v>0.05</v>
      </c>
    </row>
    <row r="12">
      <c r="A12" s="20">
        <f>IFERROR(__xludf.DUMMYFUNCTION("""COMPUTED_VALUE"""),350000.0)</f>
        <v>350000</v>
      </c>
      <c r="B12" s="20" t="str">
        <f>IFERROR(__xludf.DUMMYFUNCTION("""COMPUTED_VALUE"""),"Boston")</f>
        <v>Boston</v>
      </c>
      <c r="C12" s="20">
        <f>IFERROR(__xludf.DUMMYFUNCTION("""COMPUTED_VALUE"""),350691.0)</f>
        <v>350691</v>
      </c>
      <c r="D12" s="20" t="str">
        <f>IFERROR(__xludf.DUMMYFUNCTION("""COMPUTED_VALUE"""),"Rafael Hernandez")</f>
        <v>Rafael Hernandez</v>
      </c>
      <c r="E12" s="24">
        <f>IFERROR(__xludf.DUMMYFUNCTION("""COMPUTED_VALUE"""),44198.0)</f>
        <v>44198</v>
      </c>
      <c r="F12" s="20" t="str">
        <f>IFERROR(__xludf.DUMMYFUNCTION("""COMPUTED_VALUE"""),"All")</f>
        <v>All</v>
      </c>
      <c r="G12" s="20">
        <f>IFERROR(__xludf.DUMMYFUNCTION("""COMPUTED_VALUE"""),66.0)</f>
        <v>66</v>
      </c>
      <c r="H12" s="20">
        <f>IFERROR(__xludf.DUMMYFUNCTION("""COMPUTED_VALUE"""),66.0)</f>
        <v>66</v>
      </c>
      <c r="I12" s="21">
        <f>IFERROR(__xludf.DUMMYFUNCTION("""COMPUTED_VALUE"""),1.0)</f>
        <v>1</v>
      </c>
      <c r="J12" s="20">
        <f>IFERROR(__xludf.DUMMYFUNCTION("""COMPUTED_VALUE"""),66.0)</f>
        <v>66</v>
      </c>
      <c r="K12" s="20">
        <f>IFERROR(__xludf.DUMMYFUNCTION("""COMPUTED_VALUE"""),5.0)</f>
        <v>5</v>
      </c>
      <c r="L12" s="21">
        <f>IFERROR(__xludf.DUMMYFUNCTION("""COMPUTED_VALUE"""),0.08)</f>
        <v>0.08</v>
      </c>
      <c r="M12" s="20">
        <f>IFERROR(__xludf.DUMMYFUNCTION("""COMPUTED_VALUE"""),15.0)</f>
        <v>15</v>
      </c>
      <c r="N12" s="21">
        <f>IFERROR(__xludf.DUMMYFUNCTION("""COMPUTED_VALUE"""),0.23)</f>
        <v>0.23</v>
      </c>
      <c r="O12" s="20">
        <f>IFERROR(__xludf.DUMMYFUNCTION("""COMPUTED_VALUE"""),36.0)</f>
        <v>36</v>
      </c>
      <c r="P12" s="21">
        <f>IFERROR(__xludf.DUMMYFUNCTION("""COMPUTED_VALUE"""),0.55)</f>
        <v>0.55</v>
      </c>
      <c r="Q12" s="20">
        <f>IFERROR(__xludf.DUMMYFUNCTION("""COMPUTED_VALUE"""),9.0)</f>
        <v>9</v>
      </c>
      <c r="R12" s="21">
        <f>IFERROR(__xludf.DUMMYFUNCTION("""COMPUTED_VALUE"""),0.14)</f>
        <v>0.14</v>
      </c>
      <c r="S12" s="20">
        <f>IFERROR(__xludf.DUMMYFUNCTION("""COMPUTED_VALUE"""),1.0)</f>
        <v>1</v>
      </c>
      <c r="T12" s="21">
        <f>IFERROR(__xludf.DUMMYFUNCTION("""COMPUTED_VALUE"""),0.02)</f>
        <v>0.02</v>
      </c>
      <c r="U12" s="20">
        <f>IFERROR(__xludf.DUMMYFUNCTION("""COMPUTED_VALUE"""),0.0)</f>
        <v>0</v>
      </c>
      <c r="V12" s="21">
        <f>IFERROR(__xludf.DUMMYFUNCTION("""COMPUTED_VALUE"""),0.0)</f>
        <v>0</v>
      </c>
      <c r="W12" s="20">
        <f>IFERROR(__xludf.DUMMYFUNCTION("""COMPUTED_VALUE"""),62.0)</f>
        <v>62</v>
      </c>
      <c r="X12" s="20">
        <f>IFERROR(__xludf.DUMMYFUNCTION("""COMPUTED_VALUE"""),39.0)</f>
        <v>39</v>
      </c>
      <c r="Y12" s="21">
        <f>IFERROR(__xludf.DUMMYFUNCTION("""COMPUTED_VALUE"""),0.63)</f>
        <v>0.63</v>
      </c>
      <c r="Z12" s="20">
        <f>IFERROR(__xludf.DUMMYFUNCTION("""COMPUTED_VALUE"""),66.0)</f>
        <v>66</v>
      </c>
      <c r="AA12" s="20">
        <f>IFERROR(__xludf.DUMMYFUNCTION("""COMPUTED_VALUE"""),6.0)</f>
        <v>6</v>
      </c>
      <c r="AB12" s="21">
        <f>IFERROR(__xludf.DUMMYFUNCTION("""COMPUTED_VALUE"""),0.09)</f>
        <v>0.09</v>
      </c>
    </row>
    <row r="13">
      <c r="A13" s="20">
        <f>IFERROR(__xludf.DUMMYFUNCTION("""COMPUTED_VALUE"""),440000.0)</f>
        <v>440000</v>
      </c>
      <c r="B13" s="20" t="str">
        <f>IFERROR(__xludf.DUMMYFUNCTION("""COMPUTED_VALUE"""),"Brockton")</f>
        <v>Brockton</v>
      </c>
      <c r="C13" s="20">
        <f>IFERROR(__xludf.DUMMYFUNCTION("""COMPUTED_VALUE"""),440003.0)</f>
        <v>440003</v>
      </c>
      <c r="D13" s="20" t="str">
        <f>IFERROR(__xludf.DUMMYFUNCTION("""COMPUTED_VALUE"""),"Manthala George Jr. School")</f>
        <v>Manthala George Jr. School</v>
      </c>
      <c r="E13" s="24">
        <f>IFERROR(__xludf.DUMMYFUNCTION("""COMPUTED_VALUE"""),44198.0)</f>
        <v>44198</v>
      </c>
      <c r="F13" s="20" t="str">
        <f>IFERROR(__xludf.DUMMYFUNCTION("""COMPUTED_VALUE"""),"All")</f>
        <v>All</v>
      </c>
      <c r="G13" s="20">
        <f>IFERROR(__xludf.DUMMYFUNCTION("""COMPUTED_VALUE"""),150.0)</f>
        <v>150</v>
      </c>
      <c r="H13" s="20">
        <f>IFERROR(__xludf.DUMMYFUNCTION("""COMPUTED_VALUE"""),150.0)</f>
        <v>150</v>
      </c>
      <c r="I13" s="21">
        <f>IFERROR(__xludf.DUMMYFUNCTION("""COMPUTED_VALUE"""),1.0)</f>
        <v>1</v>
      </c>
      <c r="J13" s="20">
        <f>IFERROR(__xludf.DUMMYFUNCTION("""COMPUTED_VALUE"""),150.0)</f>
        <v>150</v>
      </c>
      <c r="K13" s="20">
        <f>IFERROR(__xludf.DUMMYFUNCTION("""COMPUTED_VALUE"""),35.0)</f>
        <v>35</v>
      </c>
      <c r="L13" s="21">
        <f>IFERROR(__xludf.DUMMYFUNCTION("""COMPUTED_VALUE"""),0.23)</f>
        <v>0.23</v>
      </c>
      <c r="M13" s="20">
        <f>IFERROR(__xludf.DUMMYFUNCTION("""COMPUTED_VALUE"""),69.0)</f>
        <v>69</v>
      </c>
      <c r="N13" s="21">
        <f>IFERROR(__xludf.DUMMYFUNCTION("""COMPUTED_VALUE"""),0.46)</f>
        <v>0.46</v>
      </c>
      <c r="O13" s="20">
        <f>IFERROR(__xludf.DUMMYFUNCTION("""COMPUTED_VALUE"""),42.0)</f>
        <v>42</v>
      </c>
      <c r="P13" s="21">
        <f>IFERROR(__xludf.DUMMYFUNCTION("""COMPUTED_VALUE"""),0.28)</f>
        <v>0.28</v>
      </c>
      <c r="Q13" s="20">
        <f>IFERROR(__xludf.DUMMYFUNCTION("""COMPUTED_VALUE"""),4.0)</f>
        <v>4</v>
      </c>
      <c r="R13" s="21">
        <f>IFERROR(__xludf.DUMMYFUNCTION("""COMPUTED_VALUE"""),0.03)</f>
        <v>0.03</v>
      </c>
      <c r="S13" s="20">
        <f>IFERROR(__xludf.DUMMYFUNCTION("""COMPUTED_VALUE"""),0.0)</f>
        <v>0</v>
      </c>
      <c r="T13" s="21">
        <f>IFERROR(__xludf.DUMMYFUNCTION("""COMPUTED_VALUE"""),0.0)</f>
        <v>0</v>
      </c>
      <c r="U13" s="20">
        <f>IFERROR(__xludf.DUMMYFUNCTION("""COMPUTED_VALUE"""),0.0)</f>
        <v>0</v>
      </c>
      <c r="V13" s="21">
        <f>IFERROR(__xludf.DUMMYFUNCTION("""COMPUTED_VALUE"""),0.0)</f>
        <v>0</v>
      </c>
      <c r="W13" s="20">
        <f>IFERROR(__xludf.DUMMYFUNCTION("""COMPUTED_VALUE"""),137.0)</f>
        <v>137</v>
      </c>
      <c r="X13" s="20">
        <f>IFERROR(__xludf.DUMMYFUNCTION("""COMPUTED_VALUE"""),61.0)</f>
        <v>61</v>
      </c>
      <c r="Y13" s="21">
        <f>IFERROR(__xludf.DUMMYFUNCTION("""COMPUTED_VALUE"""),0.45)</f>
        <v>0.45</v>
      </c>
      <c r="Z13" s="20">
        <f>IFERROR(__xludf.DUMMYFUNCTION("""COMPUTED_VALUE"""),150.0)</f>
        <v>150</v>
      </c>
      <c r="AA13" s="20">
        <f>IFERROR(__xludf.DUMMYFUNCTION("""COMPUTED_VALUE"""),3.0)</f>
        <v>3</v>
      </c>
      <c r="AB13" s="21">
        <f>IFERROR(__xludf.DUMMYFUNCTION("""COMPUTED_VALUE"""),0.02)</f>
        <v>0.02</v>
      </c>
    </row>
    <row r="14">
      <c r="A14" s="20">
        <f>IFERROR(__xludf.DUMMYFUNCTION("""COMPUTED_VALUE"""),570000.0)</f>
        <v>570000</v>
      </c>
      <c r="B14" s="20" t="str">
        <f>IFERROR(__xludf.DUMMYFUNCTION("""COMPUTED_VALUE"""),"Chelsea")</f>
        <v>Chelsea</v>
      </c>
      <c r="C14" s="20">
        <f>IFERROR(__xludf.DUMMYFUNCTION("""COMPUTED_VALUE"""),570035.0)</f>
        <v>570035</v>
      </c>
      <c r="D14" s="20" t="str">
        <f>IFERROR(__xludf.DUMMYFUNCTION("""COMPUTED_VALUE"""),"George F. Kelly Elementary")</f>
        <v>George F. Kelly Elementary</v>
      </c>
      <c r="E14" s="24">
        <f>IFERROR(__xludf.DUMMYFUNCTION("""COMPUTED_VALUE"""),44198.0)</f>
        <v>44198</v>
      </c>
      <c r="F14" s="20" t="str">
        <f>IFERROR(__xludf.DUMMYFUNCTION("""COMPUTED_VALUE"""),"All")</f>
        <v>All</v>
      </c>
      <c r="G14" s="20">
        <f>IFERROR(__xludf.DUMMYFUNCTION("""COMPUTED_VALUE"""),109.0)</f>
        <v>109</v>
      </c>
      <c r="H14" s="20">
        <f>IFERROR(__xludf.DUMMYFUNCTION("""COMPUTED_VALUE"""),109.0)</f>
        <v>109</v>
      </c>
      <c r="I14" s="21">
        <f>IFERROR(__xludf.DUMMYFUNCTION("""COMPUTED_VALUE"""),1.0)</f>
        <v>1</v>
      </c>
      <c r="J14" s="20">
        <f>IFERROR(__xludf.DUMMYFUNCTION("""COMPUTED_VALUE"""),108.0)</f>
        <v>108</v>
      </c>
      <c r="K14" s="20">
        <f>IFERROR(__xludf.DUMMYFUNCTION("""COMPUTED_VALUE"""),5.0)</f>
        <v>5</v>
      </c>
      <c r="L14" s="21">
        <f>IFERROR(__xludf.DUMMYFUNCTION("""COMPUTED_VALUE"""),0.05)</f>
        <v>0.05</v>
      </c>
      <c r="M14" s="20">
        <f>IFERROR(__xludf.DUMMYFUNCTION("""COMPUTED_VALUE"""),34.0)</f>
        <v>34</v>
      </c>
      <c r="N14" s="21">
        <f>IFERROR(__xludf.DUMMYFUNCTION("""COMPUTED_VALUE"""),0.31)</f>
        <v>0.31</v>
      </c>
      <c r="O14" s="20">
        <f>IFERROR(__xludf.DUMMYFUNCTION("""COMPUTED_VALUE"""),56.0)</f>
        <v>56</v>
      </c>
      <c r="P14" s="21">
        <f>IFERROR(__xludf.DUMMYFUNCTION("""COMPUTED_VALUE"""),0.52)</f>
        <v>0.52</v>
      </c>
      <c r="Q14" s="20">
        <f>IFERROR(__xludf.DUMMYFUNCTION("""COMPUTED_VALUE"""),12.0)</f>
        <v>12</v>
      </c>
      <c r="R14" s="21">
        <f>IFERROR(__xludf.DUMMYFUNCTION("""COMPUTED_VALUE"""),0.11)</f>
        <v>0.11</v>
      </c>
      <c r="S14" s="20">
        <f>IFERROR(__xludf.DUMMYFUNCTION("""COMPUTED_VALUE"""),1.0)</f>
        <v>1</v>
      </c>
      <c r="T14" s="21">
        <f>IFERROR(__xludf.DUMMYFUNCTION("""COMPUTED_VALUE"""),0.01)</f>
        <v>0.01</v>
      </c>
      <c r="U14" s="20">
        <f>IFERROR(__xludf.DUMMYFUNCTION("""COMPUTED_VALUE"""),0.0)</f>
        <v>0</v>
      </c>
      <c r="V14" s="21">
        <f>IFERROR(__xludf.DUMMYFUNCTION("""COMPUTED_VALUE"""),0.0)</f>
        <v>0</v>
      </c>
      <c r="W14" s="20">
        <f>IFERROR(__xludf.DUMMYFUNCTION("""COMPUTED_VALUE"""),106.0)</f>
        <v>106</v>
      </c>
      <c r="X14" s="20">
        <f>IFERROR(__xludf.DUMMYFUNCTION("""COMPUTED_VALUE"""),58.0)</f>
        <v>58</v>
      </c>
      <c r="Y14" s="21">
        <f>IFERROR(__xludf.DUMMYFUNCTION("""COMPUTED_VALUE"""),0.55)</f>
        <v>0.55</v>
      </c>
      <c r="Z14" s="20">
        <f>IFERROR(__xludf.DUMMYFUNCTION("""COMPUTED_VALUE"""),109.0)</f>
        <v>109</v>
      </c>
      <c r="AA14" s="20">
        <f>IFERROR(__xludf.DUMMYFUNCTION("""COMPUTED_VALUE"""),9.0)</f>
        <v>9</v>
      </c>
      <c r="AB14" s="21">
        <f>IFERROR(__xludf.DUMMYFUNCTION("""COMPUTED_VALUE"""),0.08)</f>
        <v>0.08</v>
      </c>
    </row>
    <row r="15">
      <c r="A15" s="20">
        <f>IFERROR(__xludf.DUMMYFUNCTION("""COMPUTED_VALUE"""),1000000.0)</f>
        <v>1000000</v>
      </c>
      <c r="B15" s="20" t="str">
        <f>IFERROR(__xludf.DUMMYFUNCTION("""COMPUTED_VALUE"""),"Framingham")</f>
        <v>Framingham</v>
      </c>
      <c r="C15" s="20">
        <f>IFERROR(__xludf.DUMMYFUNCTION("""COMPUTED_VALUE"""),1000006.0)</f>
        <v>1000006</v>
      </c>
      <c r="D15" s="20" t="str">
        <f>IFERROR(__xludf.DUMMYFUNCTION("""COMPUTED_VALUE"""),"Brophy")</f>
        <v>Brophy</v>
      </c>
      <c r="E15" s="24">
        <f>IFERROR(__xludf.DUMMYFUNCTION("""COMPUTED_VALUE"""),44198.0)</f>
        <v>44198</v>
      </c>
      <c r="F15" s="20" t="str">
        <f>IFERROR(__xludf.DUMMYFUNCTION("""COMPUTED_VALUE"""),"All")</f>
        <v>All</v>
      </c>
      <c r="G15" s="20">
        <f>IFERROR(__xludf.DUMMYFUNCTION("""COMPUTED_VALUE"""),55.0)</f>
        <v>55</v>
      </c>
      <c r="H15" s="20">
        <f>IFERROR(__xludf.DUMMYFUNCTION("""COMPUTED_VALUE"""),55.0)</f>
        <v>55</v>
      </c>
      <c r="I15" s="21">
        <f>IFERROR(__xludf.DUMMYFUNCTION("""COMPUTED_VALUE"""),1.0)</f>
        <v>1</v>
      </c>
      <c r="J15" s="20">
        <f>IFERROR(__xludf.DUMMYFUNCTION("""COMPUTED_VALUE"""),55.0)</f>
        <v>55</v>
      </c>
      <c r="K15" s="20">
        <f>IFERROR(__xludf.DUMMYFUNCTION("""COMPUTED_VALUE"""),13.0)</f>
        <v>13</v>
      </c>
      <c r="L15" s="21">
        <f>IFERROR(__xludf.DUMMYFUNCTION("""COMPUTED_VALUE"""),0.24)</f>
        <v>0.24</v>
      </c>
      <c r="M15" s="20">
        <f>IFERROR(__xludf.DUMMYFUNCTION("""COMPUTED_VALUE"""),18.0)</f>
        <v>18</v>
      </c>
      <c r="N15" s="21">
        <f>IFERROR(__xludf.DUMMYFUNCTION("""COMPUTED_VALUE"""),0.33)</f>
        <v>0.33</v>
      </c>
      <c r="O15" s="20">
        <f>IFERROR(__xludf.DUMMYFUNCTION("""COMPUTED_VALUE"""),19.0)</f>
        <v>19</v>
      </c>
      <c r="P15" s="21">
        <f>IFERROR(__xludf.DUMMYFUNCTION("""COMPUTED_VALUE"""),0.35)</f>
        <v>0.35</v>
      </c>
      <c r="Q15" s="20">
        <f>IFERROR(__xludf.DUMMYFUNCTION("""COMPUTED_VALUE"""),5.0)</f>
        <v>5</v>
      </c>
      <c r="R15" s="21">
        <f>IFERROR(__xludf.DUMMYFUNCTION("""COMPUTED_VALUE"""),0.09)</f>
        <v>0.09</v>
      </c>
      <c r="S15" s="20">
        <f>IFERROR(__xludf.DUMMYFUNCTION("""COMPUTED_VALUE"""),0.0)</f>
        <v>0</v>
      </c>
      <c r="T15" s="21">
        <f>IFERROR(__xludf.DUMMYFUNCTION("""COMPUTED_VALUE"""),0.0)</f>
        <v>0</v>
      </c>
      <c r="U15" s="20">
        <f>IFERROR(__xludf.DUMMYFUNCTION("""COMPUTED_VALUE"""),0.0)</f>
        <v>0</v>
      </c>
      <c r="V15" s="21">
        <f>IFERROR(__xludf.DUMMYFUNCTION("""COMPUTED_VALUE"""),0.0)</f>
        <v>0</v>
      </c>
      <c r="W15" s="20">
        <f>IFERROR(__xludf.DUMMYFUNCTION("""COMPUTED_VALUE"""),44.0)</f>
        <v>44</v>
      </c>
      <c r="X15" s="20">
        <f>IFERROR(__xludf.DUMMYFUNCTION("""COMPUTED_VALUE"""),24.0)</f>
        <v>24</v>
      </c>
      <c r="Y15" s="21">
        <f>IFERROR(__xludf.DUMMYFUNCTION("""COMPUTED_VALUE"""),0.55)</f>
        <v>0.55</v>
      </c>
      <c r="Z15" s="20">
        <f>IFERROR(__xludf.DUMMYFUNCTION("""COMPUTED_VALUE"""),55.0)</f>
        <v>55</v>
      </c>
      <c r="AA15" s="20">
        <f>IFERROR(__xludf.DUMMYFUNCTION("""COMPUTED_VALUE"""),2.0)</f>
        <v>2</v>
      </c>
      <c r="AB15" s="21">
        <f>IFERROR(__xludf.DUMMYFUNCTION("""COMPUTED_VALUE"""),0.04)</f>
        <v>0.04</v>
      </c>
    </row>
    <row r="16">
      <c r="A16" s="20">
        <f>IFERROR(__xludf.DUMMYFUNCTION("""COMPUTED_VALUE"""),1000000.0)</f>
        <v>1000000</v>
      </c>
      <c r="B16" s="20" t="str">
        <f>IFERROR(__xludf.DUMMYFUNCTION("""COMPUTED_VALUE"""),"Framingham")</f>
        <v>Framingham</v>
      </c>
      <c r="C16" s="20">
        <f>IFERROR(__xludf.DUMMYFUNCTION("""COMPUTED_VALUE"""),1000035.0)</f>
        <v>1000035</v>
      </c>
      <c r="D16" s="20" t="str">
        <f>IFERROR(__xludf.DUMMYFUNCTION("""COMPUTED_VALUE"""),"Barbieri Elementary")</f>
        <v>Barbieri Elementary</v>
      </c>
      <c r="E16" s="24">
        <f>IFERROR(__xludf.DUMMYFUNCTION("""COMPUTED_VALUE"""),44198.0)</f>
        <v>44198</v>
      </c>
      <c r="F16" s="20" t="str">
        <f>IFERROR(__xludf.DUMMYFUNCTION("""COMPUTED_VALUE"""),"All")</f>
        <v>All</v>
      </c>
      <c r="G16" s="20">
        <f>IFERROR(__xludf.DUMMYFUNCTION("""COMPUTED_VALUE"""),114.0)</f>
        <v>114</v>
      </c>
      <c r="H16" s="20">
        <f>IFERROR(__xludf.DUMMYFUNCTION("""COMPUTED_VALUE"""),114.0)</f>
        <v>114</v>
      </c>
      <c r="I16" s="21">
        <f>IFERROR(__xludf.DUMMYFUNCTION("""COMPUTED_VALUE"""),1.0)</f>
        <v>1</v>
      </c>
      <c r="J16" s="20">
        <f>IFERROR(__xludf.DUMMYFUNCTION("""COMPUTED_VALUE"""),114.0)</f>
        <v>114</v>
      </c>
      <c r="K16" s="20">
        <f>IFERROR(__xludf.DUMMYFUNCTION("""COMPUTED_VALUE"""),16.0)</f>
        <v>16</v>
      </c>
      <c r="L16" s="21">
        <f>IFERROR(__xludf.DUMMYFUNCTION("""COMPUTED_VALUE"""),0.14)</f>
        <v>0.14</v>
      </c>
      <c r="M16" s="20">
        <f>IFERROR(__xludf.DUMMYFUNCTION("""COMPUTED_VALUE"""),49.0)</f>
        <v>49</v>
      </c>
      <c r="N16" s="21">
        <f>IFERROR(__xludf.DUMMYFUNCTION("""COMPUTED_VALUE"""),0.43)</f>
        <v>0.43</v>
      </c>
      <c r="O16" s="20">
        <f>IFERROR(__xludf.DUMMYFUNCTION("""COMPUTED_VALUE"""),42.0)</f>
        <v>42</v>
      </c>
      <c r="P16" s="21">
        <f>IFERROR(__xludf.DUMMYFUNCTION("""COMPUTED_VALUE"""),0.37)</f>
        <v>0.37</v>
      </c>
      <c r="Q16" s="20">
        <f>IFERROR(__xludf.DUMMYFUNCTION("""COMPUTED_VALUE"""),7.0)</f>
        <v>7</v>
      </c>
      <c r="R16" s="21">
        <f>IFERROR(__xludf.DUMMYFUNCTION("""COMPUTED_VALUE"""),0.06)</f>
        <v>0.06</v>
      </c>
      <c r="S16" s="20">
        <f>IFERROR(__xludf.DUMMYFUNCTION("""COMPUTED_VALUE"""),0.0)</f>
        <v>0</v>
      </c>
      <c r="T16" s="21">
        <f>IFERROR(__xludf.DUMMYFUNCTION("""COMPUTED_VALUE"""),0.0)</f>
        <v>0</v>
      </c>
      <c r="U16" s="20">
        <f>IFERROR(__xludf.DUMMYFUNCTION("""COMPUTED_VALUE"""),0.0)</f>
        <v>0</v>
      </c>
      <c r="V16" s="21">
        <f>IFERROR(__xludf.DUMMYFUNCTION("""COMPUTED_VALUE"""),0.0)</f>
        <v>0</v>
      </c>
      <c r="W16" s="20">
        <f>IFERROR(__xludf.DUMMYFUNCTION("""COMPUTED_VALUE"""),110.0)</f>
        <v>110</v>
      </c>
      <c r="X16" s="20">
        <f>IFERROR(__xludf.DUMMYFUNCTION("""COMPUTED_VALUE"""),58.0)</f>
        <v>58</v>
      </c>
      <c r="Y16" s="21">
        <f>IFERROR(__xludf.DUMMYFUNCTION("""COMPUTED_VALUE"""),0.53)</f>
        <v>0.53</v>
      </c>
      <c r="Z16" s="20">
        <f>IFERROR(__xludf.DUMMYFUNCTION("""COMPUTED_VALUE"""),114.0)</f>
        <v>114</v>
      </c>
      <c r="AA16" s="20">
        <f>IFERROR(__xludf.DUMMYFUNCTION("""COMPUTED_VALUE"""),3.0)</f>
        <v>3</v>
      </c>
      <c r="AB16" s="21">
        <f>IFERROR(__xludf.DUMMYFUNCTION("""COMPUTED_VALUE"""),0.03)</f>
        <v>0.03</v>
      </c>
    </row>
    <row r="17">
      <c r="A17" s="20">
        <f>IFERROR(__xludf.DUMMYFUNCTION("""COMPUTED_VALUE"""),1000000.0)</f>
        <v>1000000</v>
      </c>
      <c r="B17" s="20" t="str">
        <f>IFERROR(__xludf.DUMMYFUNCTION("""COMPUTED_VALUE"""),"Framingham")</f>
        <v>Framingham</v>
      </c>
      <c r="C17" s="20">
        <f>IFERROR(__xludf.DUMMYFUNCTION("""COMPUTED_VALUE"""),1000039.0)</f>
        <v>1000039</v>
      </c>
      <c r="D17" s="20" t="str">
        <f>IFERROR(__xludf.DUMMYFUNCTION("""COMPUTED_VALUE"""),"Potter Road")</f>
        <v>Potter Road</v>
      </c>
      <c r="E17" s="24">
        <f>IFERROR(__xludf.DUMMYFUNCTION("""COMPUTED_VALUE"""),44198.0)</f>
        <v>44198</v>
      </c>
      <c r="F17" s="20" t="str">
        <f>IFERROR(__xludf.DUMMYFUNCTION("""COMPUTED_VALUE"""),"All")</f>
        <v>All</v>
      </c>
      <c r="G17" s="20">
        <f>IFERROR(__xludf.DUMMYFUNCTION("""COMPUTED_VALUE"""),66.0)</f>
        <v>66</v>
      </c>
      <c r="H17" s="20">
        <f>IFERROR(__xludf.DUMMYFUNCTION("""COMPUTED_VALUE"""),66.0)</f>
        <v>66</v>
      </c>
      <c r="I17" s="21">
        <f>IFERROR(__xludf.DUMMYFUNCTION("""COMPUTED_VALUE"""),1.0)</f>
        <v>1</v>
      </c>
      <c r="J17" s="20">
        <f>IFERROR(__xludf.DUMMYFUNCTION("""COMPUTED_VALUE"""),66.0)</f>
        <v>66</v>
      </c>
      <c r="K17" s="20">
        <f>IFERROR(__xludf.DUMMYFUNCTION("""COMPUTED_VALUE"""),19.0)</f>
        <v>19</v>
      </c>
      <c r="L17" s="21">
        <f>IFERROR(__xludf.DUMMYFUNCTION("""COMPUTED_VALUE"""),0.29)</f>
        <v>0.29</v>
      </c>
      <c r="M17" s="20">
        <f>IFERROR(__xludf.DUMMYFUNCTION("""COMPUTED_VALUE"""),21.0)</f>
        <v>21</v>
      </c>
      <c r="N17" s="21">
        <f>IFERROR(__xludf.DUMMYFUNCTION("""COMPUTED_VALUE"""),0.32)</f>
        <v>0.32</v>
      </c>
      <c r="O17" s="20">
        <f>IFERROR(__xludf.DUMMYFUNCTION("""COMPUTED_VALUE"""),18.0)</f>
        <v>18</v>
      </c>
      <c r="P17" s="21">
        <f>IFERROR(__xludf.DUMMYFUNCTION("""COMPUTED_VALUE"""),0.27)</f>
        <v>0.27</v>
      </c>
      <c r="Q17" s="20">
        <f>IFERROR(__xludf.DUMMYFUNCTION("""COMPUTED_VALUE"""),8.0)</f>
        <v>8</v>
      </c>
      <c r="R17" s="21">
        <f>IFERROR(__xludf.DUMMYFUNCTION("""COMPUTED_VALUE"""),0.12)</f>
        <v>0.12</v>
      </c>
      <c r="S17" s="20">
        <f>IFERROR(__xludf.DUMMYFUNCTION("""COMPUTED_VALUE"""),0.0)</f>
        <v>0</v>
      </c>
      <c r="T17" s="21">
        <f>IFERROR(__xludf.DUMMYFUNCTION("""COMPUTED_VALUE"""),0.0)</f>
        <v>0</v>
      </c>
      <c r="U17" s="20">
        <f>IFERROR(__xludf.DUMMYFUNCTION("""COMPUTED_VALUE"""),0.0)</f>
        <v>0</v>
      </c>
      <c r="V17" s="21">
        <f>IFERROR(__xludf.DUMMYFUNCTION("""COMPUTED_VALUE"""),0.0)</f>
        <v>0</v>
      </c>
      <c r="W17" s="20">
        <f>IFERROR(__xludf.DUMMYFUNCTION("""COMPUTED_VALUE"""),49.0)</f>
        <v>49</v>
      </c>
      <c r="X17" s="20">
        <f>IFERROR(__xludf.DUMMYFUNCTION("""COMPUTED_VALUE"""),27.0)</f>
        <v>27</v>
      </c>
      <c r="Y17" s="21">
        <f>IFERROR(__xludf.DUMMYFUNCTION("""COMPUTED_VALUE"""),0.55)</f>
        <v>0.55</v>
      </c>
      <c r="Z17" s="20">
        <f>IFERROR(__xludf.DUMMYFUNCTION("""COMPUTED_VALUE"""),66.0)</f>
        <v>66</v>
      </c>
      <c r="AA17" s="20">
        <f>IFERROR(__xludf.DUMMYFUNCTION("""COMPUTED_VALUE"""),5.0)</f>
        <v>5</v>
      </c>
      <c r="AB17" s="21">
        <f>IFERROR(__xludf.DUMMYFUNCTION("""COMPUTED_VALUE"""),0.08)</f>
        <v>0.08</v>
      </c>
    </row>
    <row r="18">
      <c r="A18" s="20">
        <f>IFERROR(__xludf.DUMMYFUNCTION("""COMPUTED_VALUE"""),1000000.0)</f>
        <v>1000000</v>
      </c>
      <c r="B18" s="20" t="str">
        <f>IFERROR(__xludf.DUMMYFUNCTION("""COMPUTED_VALUE"""),"Framingham")</f>
        <v>Framingham</v>
      </c>
      <c r="C18" s="20">
        <f>IFERROR(__xludf.DUMMYFUNCTION("""COMPUTED_VALUE"""),1000055.0)</f>
        <v>1000055</v>
      </c>
      <c r="D18" s="20" t="str">
        <f>IFERROR(__xludf.DUMMYFUNCTION("""COMPUTED_VALUE"""),"Woodrow Wilson")</f>
        <v>Woodrow Wilson</v>
      </c>
      <c r="E18" s="24">
        <f>IFERROR(__xludf.DUMMYFUNCTION("""COMPUTED_VALUE"""),44198.0)</f>
        <v>44198</v>
      </c>
      <c r="F18" s="20" t="str">
        <f>IFERROR(__xludf.DUMMYFUNCTION("""COMPUTED_VALUE"""),"All")</f>
        <v>All</v>
      </c>
      <c r="G18" s="20">
        <f>IFERROR(__xludf.DUMMYFUNCTION("""COMPUTED_VALUE"""),109.0)</f>
        <v>109</v>
      </c>
      <c r="H18" s="20">
        <f>IFERROR(__xludf.DUMMYFUNCTION("""COMPUTED_VALUE"""),109.0)</f>
        <v>109</v>
      </c>
      <c r="I18" s="21">
        <f>IFERROR(__xludf.DUMMYFUNCTION("""COMPUTED_VALUE"""),1.0)</f>
        <v>1</v>
      </c>
      <c r="J18" s="20">
        <f>IFERROR(__xludf.DUMMYFUNCTION("""COMPUTED_VALUE"""),109.0)</f>
        <v>109</v>
      </c>
      <c r="K18" s="20">
        <f>IFERROR(__xludf.DUMMYFUNCTION("""COMPUTED_VALUE"""),41.0)</f>
        <v>41</v>
      </c>
      <c r="L18" s="21">
        <f>IFERROR(__xludf.DUMMYFUNCTION("""COMPUTED_VALUE"""),0.38)</f>
        <v>0.38</v>
      </c>
      <c r="M18" s="20">
        <f>IFERROR(__xludf.DUMMYFUNCTION("""COMPUTED_VALUE"""),34.0)</f>
        <v>34</v>
      </c>
      <c r="N18" s="21">
        <f>IFERROR(__xludf.DUMMYFUNCTION("""COMPUTED_VALUE"""),0.31)</f>
        <v>0.31</v>
      </c>
      <c r="O18" s="20">
        <f>IFERROR(__xludf.DUMMYFUNCTION("""COMPUTED_VALUE"""),31.0)</f>
        <v>31</v>
      </c>
      <c r="P18" s="21">
        <f>IFERROR(__xludf.DUMMYFUNCTION("""COMPUTED_VALUE"""),0.28)</f>
        <v>0.28</v>
      </c>
      <c r="Q18" s="20">
        <f>IFERROR(__xludf.DUMMYFUNCTION("""COMPUTED_VALUE"""),3.0)</f>
        <v>3</v>
      </c>
      <c r="R18" s="21">
        <f>IFERROR(__xludf.DUMMYFUNCTION("""COMPUTED_VALUE"""),0.03)</f>
        <v>0.03</v>
      </c>
      <c r="S18" s="20">
        <f>IFERROR(__xludf.DUMMYFUNCTION("""COMPUTED_VALUE"""),0.0)</f>
        <v>0</v>
      </c>
      <c r="T18" s="21">
        <f>IFERROR(__xludf.DUMMYFUNCTION("""COMPUTED_VALUE"""),0.0)</f>
        <v>0</v>
      </c>
      <c r="U18" s="20">
        <f>IFERROR(__xludf.DUMMYFUNCTION("""COMPUTED_VALUE"""),0.0)</f>
        <v>0</v>
      </c>
      <c r="V18" s="21">
        <f>IFERROR(__xludf.DUMMYFUNCTION("""COMPUTED_VALUE"""),0.0)</f>
        <v>0</v>
      </c>
      <c r="W18" s="20">
        <f>IFERROR(__xludf.DUMMYFUNCTION("""COMPUTED_VALUE"""),76.0)</f>
        <v>76</v>
      </c>
      <c r="X18" s="20">
        <f>IFERROR(__xludf.DUMMYFUNCTION("""COMPUTED_VALUE"""),30.0)</f>
        <v>30</v>
      </c>
      <c r="Y18" s="21">
        <f>IFERROR(__xludf.DUMMYFUNCTION("""COMPUTED_VALUE"""),0.39)</f>
        <v>0.39</v>
      </c>
      <c r="Z18" s="20">
        <f>IFERROR(__xludf.DUMMYFUNCTION("""COMPUTED_VALUE"""),109.0)</f>
        <v>109</v>
      </c>
      <c r="AA18" s="20">
        <f>IFERROR(__xludf.DUMMYFUNCTION("""COMPUTED_VALUE"""),1.0)</f>
        <v>1</v>
      </c>
      <c r="AB18" s="21">
        <f>IFERROR(__xludf.DUMMYFUNCTION("""COMPUTED_VALUE"""),0.01)</f>
        <v>0.01</v>
      </c>
    </row>
    <row r="19">
      <c r="A19" s="20">
        <f>IFERROR(__xludf.DUMMYFUNCTION("""COMPUTED_VALUE"""),1360000.0)</f>
        <v>1360000</v>
      </c>
      <c r="B19" s="20" t="str">
        <f>IFERROR(__xludf.DUMMYFUNCTION("""COMPUTED_VALUE"""),"Holliston")</f>
        <v>Holliston</v>
      </c>
      <c r="C19" s="20">
        <f>IFERROR(__xludf.DUMMYFUNCTION("""COMPUTED_VALUE"""),1360010.0)</f>
        <v>1360010</v>
      </c>
      <c r="D19" s="20" t="str">
        <f>IFERROR(__xludf.DUMMYFUNCTION("""COMPUTED_VALUE"""),"Placentino Elementary")</f>
        <v>Placentino Elementary</v>
      </c>
      <c r="E19" s="24">
        <f>IFERROR(__xludf.DUMMYFUNCTION("""COMPUTED_VALUE"""),44198.0)</f>
        <v>44198</v>
      </c>
      <c r="F19" s="20" t="str">
        <f>IFERROR(__xludf.DUMMYFUNCTION("""COMPUTED_VALUE"""),"All")</f>
        <v>All</v>
      </c>
      <c r="G19" s="20">
        <f>IFERROR(__xludf.DUMMYFUNCTION("""COMPUTED_VALUE"""),19.0)</f>
        <v>19</v>
      </c>
      <c r="H19" s="20">
        <f>IFERROR(__xludf.DUMMYFUNCTION("""COMPUTED_VALUE"""),19.0)</f>
        <v>19</v>
      </c>
      <c r="I19" s="21">
        <f>IFERROR(__xludf.DUMMYFUNCTION("""COMPUTED_VALUE"""),1.0)</f>
        <v>1</v>
      </c>
      <c r="J19" s="20">
        <f>IFERROR(__xludf.DUMMYFUNCTION("""COMPUTED_VALUE"""),19.0)</f>
        <v>19</v>
      </c>
      <c r="K19" s="20">
        <f>IFERROR(__xludf.DUMMYFUNCTION("""COMPUTED_VALUE"""),0.0)</f>
        <v>0</v>
      </c>
      <c r="L19" s="21">
        <f>IFERROR(__xludf.DUMMYFUNCTION("""COMPUTED_VALUE"""),0.0)</f>
        <v>0</v>
      </c>
      <c r="M19" s="20">
        <f>IFERROR(__xludf.DUMMYFUNCTION("""COMPUTED_VALUE"""),5.0)</f>
        <v>5</v>
      </c>
      <c r="N19" s="21">
        <f>IFERROR(__xludf.DUMMYFUNCTION("""COMPUTED_VALUE"""),0.26)</f>
        <v>0.26</v>
      </c>
      <c r="O19" s="20">
        <f>IFERROR(__xludf.DUMMYFUNCTION("""COMPUTED_VALUE"""),9.0)</f>
        <v>9</v>
      </c>
      <c r="P19" s="21">
        <f>IFERROR(__xludf.DUMMYFUNCTION("""COMPUTED_VALUE"""),0.47)</f>
        <v>0.47</v>
      </c>
      <c r="Q19" s="20">
        <f>IFERROR(__xludf.DUMMYFUNCTION("""COMPUTED_VALUE"""),5.0)</f>
        <v>5</v>
      </c>
      <c r="R19" s="21">
        <f>IFERROR(__xludf.DUMMYFUNCTION("""COMPUTED_VALUE"""),0.26)</f>
        <v>0.26</v>
      </c>
      <c r="S19" s="20">
        <f>IFERROR(__xludf.DUMMYFUNCTION("""COMPUTED_VALUE"""),0.0)</f>
        <v>0</v>
      </c>
      <c r="T19" s="21">
        <f>IFERROR(__xludf.DUMMYFUNCTION("""COMPUTED_VALUE"""),0.0)</f>
        <v>0</v>
      </c>
      <c r="U19" s="20">
        <f>IFERROR(__xludf.DUMMYFUNCTION("""COMPUTED_VALUE"""),0.0)</f>
        <v>0</v>
      </c>
      <c r="V19" s="21">
        <f>IFERROR(__xludf.DUMMYFUNCTION("""COMPUTED_VALUE"""),0.0)</f>
        <v>0</v>
      </c>
      <c r="W19" s="20">
        <f>IFERROR(__xludf.DUMMYFUNCTION("""COMPUTED_VALUE"""),19.0)</f>
        <v>19</v>
      </c>
      <c r="X19" s="20">
        <f>IFERROR(__xludf.DUMMYFUNCTION("""COMPUTED_VALUE"""),12.0)</f>
        <v>12</v>
      </c>
      <c r="Y19" s="21">
        <f>IFERROR(__xludf.DUMMYFUNCTION("""COMPUTED_VALUE"""),0.63)</f>
        <v>0.63</v>
      </c>
      <c r="Z19" s="20">
        <f>IFERROR(__xludf.DUMMYFUNCTION("""COMPUTED_VALUE"""),19.0)</f>
        <v>19</v>
      </c>
      <c r="AA19" s="20">
        <f>IFERROR(__xludf.DUMMYFUNCTION("""COMPUTED_VALUE"""),4.0)</f>
        <v>4</v>
      </c>
      <c r="AB19" s="21">
        <f>IFERROR(__xludf.DUMMYFUNCTION("""COMPUTED_VALUE"""),0.21)</f>
        <v>0.21</v>
      </c>
    </row>
    <row r="20">
      <c r="A20" s="20">
        <f>IFERROR(__xludf.DUMMYFUNCTION("""COMPUTED_VALUE"""),1370000.0)</f>
        <v>1370000</v>
      </c>
      <c r="B20" s="20" t="str">
        <f>IFERROR(__xludf.DUMMYFUNCTION("""COMPUTED_VALUE"""),"Holyoke")</f>
        <v>Holyoke</v>
      </c>
      <c r="C20" s="20">
        <f>IFERROR(__xludf.DUMMYFUNCTION("""COMPUTED_VALUE"""),1370045.0)</f>
        <v>1370045</v>
      </c>
      <c r="D20" s="20" t="str">
        <f>IFERROR(__xludf.DUMMYFUNCTION("""COMPUTED_VALUE"""),"E N White Elementary")</f>
        <v>E N White Elementary</v>
      </c>
      <c r="E20" s="24">
        <f>IFERROR(__xludf.DUMMYFUNCTION("""COMPUTED_VALUE"""),44198.0)</f>
        <v>44198</v>
      </c>
      <c r="F20" s="20" t="str">
        <f>IFERROR(__xludf.DUMMYFUNCTION("""COMPUTED_VALUE"""),"All")</f>
        <v>All</v>
      </c>
      <c r="G20" s="20">
        <f>IFERROR(__xludf.DUMMYFUNCTION("""COMPUTED_VALUE"""),14.0)</f>
        <v>14</v>
      </c>
      <c r="H20" s="20">
        <f>IFERROR(__xludf.DUMMYFUNCTION("""COMPUTED_VALUE"""),14.0)</f>
        <v>14</v>
      </c>
      <c r="I20" s="21">
        <f>IFERROR(__xludf.DUMMYFUNCTION("""COMPUTED_VALUE"""),1.0)</f>
        <v>1</v>
      </c>
      <c r="J20" s="20">
        <f>IFERROR(__xludf.DUMMYFUNCTION("""COMPUTED_VALUE"""),14.0)</f>
        <v>14</v>
      </c>
      <c r="K20" s="20">
        <f>IFERROR(__xludf.DUMMYFUNCTION("""COMPUTED_VALUE"""),0.0)</f>
        <v>0</v>
      </c>
      <c r="L20" s="21">
        <f>IFERROR(__xludf.DUMMYFUNCTION("""COMPUTED_VALUE"""),0.0)</f>
        <v>0</v>
      </c>
      <c r="M20" s="20">
        <f>IFERROR(__xludf.DUMMYFUNCTION("""COMPUTED_VALUE"""),8.0)</f>
        <v>8</v>
      </c>
      <c r="N20" s="21">
        <f>IFERROR(__xludf.DUMMYFUNCTION("""COMPUTED_VALUE"""),0.57)</f>
        <v>0.57</v>
      </c>
      <c r="O20" s="20">
        <f>IFERROR(__xludf.DUMMYFUNCTION("""COMPUTED_VALUE"""),6.0)</f>
        <v>6</v>
      </c>
      <c r="P20" s="21">
        <f>IFERROR(__xludf.DUMMYFUNCTION("""COMPUTED_VALUE"""),0.43)</f>
        <v>0.43</v>
      </c>
      <c r="Q20" s="20">
        <f>IFERROR(__xludf.DUMMYFUNCTION("""COMPUTED_VALUE"""),0.0)</f>
        <v>0</v>
      </c>
      <c r="R20" s="21">
        <f>IFERROR(__xludf.DUMMYFUNCTION("""COMPUTED_VALUE"""),0.0)</f>
        <v>0</v>
      </c>
      <c r="S20" s="20">
        <f>IFERROR(__xludf.DUMMYFUNCTION("""COMPUTED_VALUE"""),0.0)</f>
        <v>0</v>
      </c>
      <c r="T20" s="21">
        <f>IFERROR(__xludf.DUMMYFUNCTION("""COMPUTED_VALUE"""),0.0)</f>
        <v>0</v>
      </c>
      <c r="U20" s="20">
        <f>IFERROR(__xludf.DUMMYFUNCTION("""COMPUTED_VALUE"""),0.0)</f>
        <v>0</v>
      </c>
      <c r="V20" s="21">
        <f>IFERROR(__xludf.DUMMYFUNCTION("""COMPUTED_VALUE"""),0.0)</f>
        <v>0</v>
      </c>
      <c r="W20" s="20">
        <f>IFERROR(__xludf.DUMMYFUNCTION("""COMPUTED_VALUE"""),11.0)</f>
        <v>11</v>
      </c>
      <c r="X20" s="20">
        <f>IFERROR(__xludf.DUMMYFUNCTION("""COMPUTED_VALUE"""),4.0)</f>
        <v>4</v>
      </c>
      <c r="Y20" s="21">
        <f>IFERROR(__xludf.DUMMYFUNCTION("""COMPUTED_VALUE"""),0.36)</f>
        <v>0.36</v>
      </c>
      <c r="Z20" s="20">
        <f>IFERROR(__xludf.DUMMYFUNCTION("""COMPUTED_VALUE"""),14.0)</f>
        <v>14</v>
      </c>
      <c r="AA20" s="20">
        <f>IFERROR(__xludf.DUMMYFUNCTION("""COMPUTED_VALUE"""),0.0)</f>
        <v>0</v>
      </c>
      <c r="AB20" s="21">
        <f>IFERROR(__xludf.DUMMYFUNCTION("""COMPUTED_VALUE"""),0.0)</f>
        <v>0</v>
      </c>
    </row>
    <row r="21">
      <c r="A21" s="20">
        <f>IFERROR(__xludf.DUMMYFUNCTION("""COMPUTED_VALUE"""),1740000.0)</f>
        <v>1740000</v>
      </c>
      <c r="B21" s="20" t="str">
        <f>IFERROR(__xludf.DUMMYFUNCTION("""COMPUTED_VALUE"""),"Maynard")</f>
        <v>Maynard</v>
      </c>
      <c r="C21" s="20">
        <f>IFERROR(__xludf.DUMMYFUNCTION("""COMPUTED_VALUE"""),1740010.0)</f>
        <v>1740010</v>
      </c>
      <c r="D21" s="20" t="str">
        <f>IFERROR(__xludf.DUMMYFUNCTION("""COMPUTED_VALUE"""),"Green Meadow")</f>
        <v>Green Meadow</v>
      </c>
      <c r="E21" s="24">
        <f>IFERROR(__xludf.DUMMYFUNCTION("""COMPUTED_VALUE"""),44198.0)</f>
        <v>44198</v>
      </c>
      <c r="F21" s="20" t="str">
        <f>IFERROR(__xludf.DUMMYFUNCTION("""COMPUTED_VALUE"""),"All")</f>
        <v>All</v>
      </c>
      <c r="G21" s="20">
        <f>IFERROR(__xludf.DUMMYFUNCTION("""COMPUTED_VALUE"""),14.0)</f>
        <v>14</v>
      </c>
      <c r="H21" s="20">
        <f>IFERROR(__xludf.DUMMYFUNCTION("""COMPUTED_VALUE"""),14.0)</f>
        <v>14</v>
      </c>
      <c r="I21" s="21">
        <f>IFERROR(__xludf.DUMMYFUNCTION("""COMPUTED_VALUE"""),1.0)</f>
        <v>1</v>
      </c>
      <c r="J21" s="20">
        <f>IFERROR(__xludf.DUMMYFUNCTION("""COMPUTED_VALUE"""),14.0)</f>
        <v>14</v>
      </c>
      <c r="K21" s="20">
        <f>IFERROR(__xludf.DUMMYFUNCTION("""COMPUTED_VALUE"""),0.0)</f>
        <v>0</v>
      </c>
      <c r="L21" s="21">
        <f>IFERROR(__xludf.DUMMYFUNCTION("""COMPUTED_VALUE"""),0.0)</f>
        <v>0</v>
      </c>
      <c r="M21" s="20">
        <f>IFERROR(__xludf.DUMMYFUNCTION("""COMPUTED_VALUE"""),3.0)</f>
        <v>3</v>
      </c>
      <c r="N21" s="21">
        <f>IFERROR(__xludf.DUMMYFUNCTION("""COMPUTED_VALUE"""),0.21)</f>
        <v>0.21</v>
      </c>
      <c r="O21" s="20">
        <f>IFERROR(__xludf.DUMMYFUNCTION("""COMPUTED_VALUE"""),6.0)</f>
        <v>6</v>
      </c>
      <c r="P21" s="21">
        <f>IFERROR(__xludf.DUMMYFUNCTION("""COMPUTED_VALUE"""),0.43)</f>
        <v>0.43</v>
      </c>
      <c r="Q21" s="20">
        <f>IFERROR(__xludf.DUMMYFUNCTION("""COMPUTED_VALUE"""),4.0)</f>
        <v>4</v>
      </c>
      <c r="R21" s="21">
        <f>IFERROR(__xludf.DUMMYFUNCTION("""COMPUTED_VALUE"""),0.29)</f>
        <v>0.29</v>
      </c>
      <c r="S21" s="20">
        <f>IFERROR(__xludf.DUMMYFUNCTION("""COMPUTED_VALUE"""),1.0)</f>
        <v>1</v>
      </c>
      <c r="T21" s="21">
        <f>IFERROR(__xludf.DUMMYFUNCTION("""COMPUTED_VALUE"""),0.07)</f>
        <v>0.07</v>
      </c>
      <c r="U21" s="20">
        <f>IFERROR(__xludf.DUMMYFUNCTION("""COMPUTED_VALUE"""),0.0)</f>
        <v>0</v>
      </c>
      <c r="V21" s="21">
        <f>IFERROR(__xludf.DUMMYFUNCTION("""COMPUTED_VALUE"""),0.0)</f>
        <v>0</v>
      </c>
      <c r="W21" s="20">
        <f>IFERROR(__xludf.DUMMYFUNCTION("""COMPUTED_VALUE"""),13.0)</f>
        <v>13</v>
      </c>
      <c r="X21" s="20">
        <f>IFERROR(__xludf.DUMMYFUNCTION("""COMPUTED_VALUE"""),9.0)</f>
        <v>9</v>
      </c>
      <c r="Y21" s="21">
        <f>IFERROR(__xludf.DUMMYFUNCTION("""COMPUTED_VALUE"""),0.69)</f>
        <v>0.69</v>
      </c>
      <c r="Z21" s="20">
        <f>IFERROR(__xludf.DUMMYFUNCTION("""COMPUTED_VALUE"""),14.0)</f>
        <v>14</v>
      </c>
      <c r="AA21" s="20">
        <f>IFERROR(__xludf.DUMMYFUNCTION("""COMPUTED_VALUE"""),4.0)</f>
        <v>4</v>
      </c>
      <c r="AB21" s="21">
        <f>IFERROR(__xludf.DUMMYFUNCTION("""COMPUTED_VALUE"""),0.29)</f>
        <v>0.29</v>
      </c>
    </row>
    <row r="22">
      <c r="A22" s="20">
        <f>IFERROR(__xludf.DUMMYFUNCTION("""COMPUTED_VALUE"""),2010000.0)</f>
        <v>2010000</v>
      </c>
      <c r="B22" s="20" t="str">
        <f>IFERROR(__xludf.DUMMYFUNCTION("""COMPUTED_VALUE"""),"New Bedford")</f>
        <v>New Bedford</v>
      </c>
      <c r="C22" s="20">
        <f>IFERROR(__xludf.DUMMYFUNCTION("""COMPUTED_VALUE"""),2010063.0)</f>
        <v>2010063</v>
      </c>
      <c r="D22" s="20" t="str">
        <f>IFERROR(__xludf.DUMMYFUNCTION("""COMPUTED_VALUE"""),"Alfred J Gomes")</f>
        <v>Alfred J Gomes</v>
      </c>
      <c r="E22" s="24">
        <f>IFERROR(__xludf.DUMMYFUNCTION("""COMPUTED_VALUE"""),44198.0)</f>
        <v>44198</v>
      </c>
      <c r="F22" s="20" t="str">
        <f>IFERROR(__xludf.DUMMYFUNCTION("""COMPUTED_VALUE"""),"All")</f>
        <v>All</v>
      </c>
      <c r="G22" s="20">
        <f>IFERROR(__xludf.DUMMYFUNCTION("""COMPUTED_VALUE"""),143.0)</f>
        <v>143</v>
      </c>
      <c r="H22" s="20">
        <f>IFERROR(__xludf.DUMMYFUNCTION("""COMPUTED_VALUE"""),143.0)</f>
        <v>143</v>
      </c>
      <c r="I22" s="21">
        <f>IFERROR(__xludf.DUMMYFUNCTION("""COMPUTED_VALUE"""),1.0)</f>
        <v>1</v>
      </c>
      <c r="J22" s="20">
        <f>IFERROR(__xludf.DUMMYFUNCTION("""COMPUTED_VALUE"""),142.0)</f>
        <v>142</v>
      </c>
      <c r="K22" s="20">
        <f>IFERROR(__xludf.DUMMYFUNCTION("""COMPUTED_VALUE"""),9.0)</f>
        <v>9</v>
      </c>
      <c r="L22" s="21">
        <f>IFERROR(__xludf.DUMMYFUNCTION("""COMPUTED_VALUE"""),0.06)</f>
        <v>0.06</v>
      </c>
      <c r="M22" s="20">
        <f>IFERROR(__xludf.DUMMYFUNCTION("""COMPUTED_VALUE"""),43.0)</f>
        <v>43</v>
      </c>
      <c r="N22" s="21">
        <f>IFERROR(__xludf.DUMMYFUNCTION("""COMPUTED_VALUE"""),0.3)</f>
        <v>0.3</v>
      </c>
      <c r="O22" s="20">
        <f>IFERROR(__xludf.DUMMYFUNCTION("""COMPUTED_VALUE"""),65.0)</f>
        <v>65</v>
      </c>
      <c r="P22" s="21">
        <f>IFERROR(__xludf.DUMMYFUNCTION("""COMPUTED_VALUE"""),0.46)</f>
        <v>0.46</v>
      </c>
      <c r="Q22" s="20">
        <f>IFERROR(__xludf.DUMMYFUNCTION("""COMPUTED_VALUE"""),23.0)</f>
        <v>23</v>
      </c>
      <c r="R22" s="21">
        <f>IFERROR(__xludf.DUMMYFUNCTION("""COMPUTED_VALUE"""),0.16)</f>
        <v>0.16</v>
      </c>
      <c r="S22" s="20">
        <f>IFERROR(__xludf.DUMMYFUNCTION("""COMPUTED_VALUE"""),2.0)</f>
        <v>2</v>
      </c>
      <c r="T22" s="21">
        <f>IFERROR(__xludf.DUMMYFUNCTION("""COMPUTED_VALUE"""),0.01)</f>
        <v>0.01</v>
      </c>
      <c r="U22" s="20">
        <f>IFERROR(__xludf.DUMMYFUNCTION("""COMPUTED_VALUE"""),0.0)</f>
        <v>0</v>
      </c>
      <c r="V22" s="21">
        <f>IFERROR(__xludf.DUMMYFUNCTION("""COMPUTED_VALUE"""),0.0)</f>
        <v>0</v>
      </c>
      <c r="W22" s="20">
        <f>IFERROR(__xludf.DUMMYFUNCTION("""COMPUTED_VALUE"""),129.0)</f>
        <v>129</v>
      </c>
      <c r="X22" s="20">
        <f>IFERROR(__xludf.DUMMYFUNCTION("""COMPUTED_VALUE"""),83.0)</f>
        <v>83</v>
      </c>
      <c r="Y22" s="21">
        <f>IFERROR(__xludf.DUMMYFUNCTION("""COMPUTED_VALUE"""),0.64)</f>
        <v>0.64</v>
      </c>
      <c r="Z22" s="20">
        <f>IFERROR(__xludf.DUMMYFUNCTION("""COMPUTED_VALUE"""),143.0)</f>
        <v>143</v>
      </c>
      <c r="AA22" s="20">
        <f>IFERROR(__xludf.DUMMYFUNCTION("""COMPUTED_VALUE"""),18.0)</f>
        <v>18</v>
      </c>
      <c r="AB22" s="21">
        <f>IFERROR(__xludf.DUMMYFUNCTION("""COMPUTED_VALUE"""),0.13)</f>
        <v>0.13</v>
      </c>
    </row>
    <row r="23">
      <c r="A23" s="20">
        <f>IFERROR(__xludf.DUMMYFUNCTION("""COMPUTED_VALUE"""),2740000.0)</f>
        <v>2740000</v>
      </c>
      <c r="B23" s="20" t="str">
        <f>IFERROR(__xludf.DUMMYFUNCTION("""COMPUTED_VALUE"""),"Somerville")</f>
        <v>Somerville</v>
      </c>
      <c r="C23" s="20">
        <f>IFERROR(__xludf.DUMMYFUNCTION("""COMPUTED_VALUE"""),2740111.0)</f>
        <v>2740111</v>
      </c>
      <c r="D23" s="20" t="str">
        <f>IFERROR(__xludf.DUMMYFUNCTION("""COMPUTED_VALUE"""),"E Somerville Community")</f>
        <v>E Somerville Community</v>
      </c>
      <c r="E23" s="24">
        <f>IFERROR(__xludf.DUMMYFUNCTION("""COMPUTED_VALUE"""),44198.0)</f>
        <v>44198</v>
      </c>
      <c r="F23" s="20" t="str">
        <f>IFERROR(__xludf.DUMMYFUNCTION("""COMPUTED_VALUE"""),"All")</f>
        <v>All</v>
      </c>
      <c r="G23" s="20">
        <f>IFERROR(__xludf.DUMMYFUNCTION("""COMPUTED_VALUE"""),77.0)</f>
        <v>77</v>
      </c>
      <c r="H23" s="20">
        <f>IFERROR(__xludf.DUMMYFUNCTION("""COMPUTED_VALUE"""),76.0)</f>
        <v>76</v>
      </c>
      <c r="I23" s="21">
        <f>IFERROR(__xludf.DUMMYFUNCTION("""COMPUTED_VALUE"""),0.99)</f>
        <v>0.99</v>
      </c>
      <c r="J23" s="20">
        <f>IFERROR(__xludf.DUMMYFUNCTION("""COMPUTED_VALUE"""),73.0)</f>
        <v>73</v>
      </c>
      <c r="K23" s="20">
        <f>IFERROR(__xludf.DUMMYFUNCTION("""COMPUTED_VALUE"""),3.0)</f>
        <v>3</v>
      </c>
      <c r="L23" s="21">
        <f>IFERROR(__xludf.DUMMYFUNCTION("""COMPUTED_VALUE"""),0.04)</f>
        <v>0.04</v>
      </c>
      <c r="M23" s="20">
        <f>IFERROR(__xludf.DUMMYFUNCTION("""COMPUTED_VALUE"""),26.0)</f>
        <v>26</v>
      </c>
      <c r="N23" s="21">
        <f>IFERROR(__xludf.DUMMYFUNCTION("""COMPUTED_VALUE"""),0.36)</f>
        <v>0.36</v>
      </c>
      <c r="O23" s="20">
        <f>IFERROR(__xludf.DUMMYFUNCTION("""COMPUTED_VALUE"""),35.0)</f>
        <v>35</v>
      </c>
      <c r="P23" s="21">
        <f>IFERROR(__xludf.DUMMYFUNCTION("""COMPUTED_VALUE"""),0.48)</f>
        <v>0.48</v>
      </c>
      <c r="Q23" s="20">
        <f>IFERROR(__xludf.DUMMYFUNCTION("""COMPUTED_VALUE"""),9.0)</f>
        <v>9</v>
      </c>
      <c r="R23" s="21">
        <f>IFERROR(__xludf.DUMMYFUNCTION("""COMPUTED_VALUE"""),0.12)</f>
        <v>0.12</v>
      </c>
      <c r="S23" s="20">
        <f>IFERROR(__xludf.DUMMYFUNCTION("""COMPUTED_VALUE"""),0.0)</f>
        <v>0</v>
      </c>
      <c r="T23" s="21">
        <f>IFERROR(__xludf.DUMMYFUNCTION("""COMPUTED_VALUE"""),0.0)</f>
        <v>0</v>
      </c>
      <c r="U23" s="20">
        <f>IFERROR(__xludf.DUMMYFUNCTION("""COMPUTED_VALUE"""),0.0)</f>
        <v>0</v>
      </c>
      <c r="V23" s="21">
        <f>IFERROR(__xludf.DUMMYFUNCTION("""COMPUTED_VALUE"""),0.0)</f>
        <v>0</v>
      </c>
      <c r="W23" s="20">
        <f>IFERROR(__xludf.DUMMYFUNCTION("""COMPUTED_VALUE"""),75.0)</f>
        <v>75</v>
      </c>
      <c r="X23" s="20">
        <f>IFERROR(__xludf.DUMMYFUNCTION("""COMPUTED_VALUE"""),43.0)</f>
        <v>43</v>
      </c>
      <c r="Y23" s="21">
        <f>IFERROR(__xludf.DUMMYFUNCTION("""COMPUTED_VALUE"""),0.57)</f>
        <v>0.57</v>
      </c>
      <c r="Z23" s="20">
        <f>IFERROR(__xludf.DUMMYFUNCTION("""COMPUTED_VALUE"""),77.0)</f>
        <v>77</v>
      </c>
      <c r="AA23" s="20">
        <f>IFERROR(__xludf.DUMMYFUNCTION("""COMPUTED_VALUE"""),5.0)</f>
        <v>5</v>
      </c>
      <c r="AB23" s="21">
        <f>IFERROR(__xludf.DUMMYFUNCTION("""COMPUTED_VALUE"""),0.06)</f>
        <v>0.06</v>
      </c>
    </row>
    <row r="24">
      <c r="A24" s="20">
        <f>IFERROR(__xludf.DUMMYFUNCTION("""COMPUTED_VALUE"""),2770000.0)</f>
        <v>2770000</v>
      </c>
      <c r="B24" s="20" t="str">
        <f>IFERROR(__xludf.DUMMYFUNCTION("""COMPUTED_VALUE"""),"Southbridge")</f>
        <v>Southbridge</v>
      </c>
      <c r="C24" s="20">
        <f>IFERROR(__xludf.DUMMYFUNCTION("""COMPUTED_VALUE"""),2770010.0)</f>
        <v>2770010</v>
      </c>
      <c r="D24" s="20" t="str">
        <f>IFERROR(__xludf.DUMMYFUNCTION("""COMPUTED_VALUE"""),"Eastford Road")</f>
        <v>Eastford Road</v>
      </c>
      <c r="E24" s="24">
        <f>IFERROR(__xludf.DUMMYFUNCTION("""COMPUTED_VALUE"""),44198.0)</f>
        <v>44198</v>
      </c>
      <c r="F24" s="20" t="str">
        <f>IFERROR(__xludf.DUMMYFUNCTION("""COMPUTED_VALUE"""),"All")</f>
        <v>All</v>
      </c>
      <c r="G24" s="20">
        <f>IFERROR(__xludf.DUMMYFUNCTION("""COMPUTED_VALUE"""),24.0)</f>
        <v>24</v>
      </c>
      <c r="H24" s="20">
        <f>IFERROR(__xludf.DUMMYFUNCTION("""COMPUTED_VALUE"""),23.0)</f>
        <v>23</v>
      </c>
      <c r="I24" s="21">
        <f>IFERROR(__xludf.DUMMYFUNCTION("""COMPUTED_VALUE"""),0.96)</f>
        <v>0.96</v>
      </c>
      <c r="J24" s="20">
        <f>IFERROR(__xludf.DUMMYFUNCTION("""COMPUTED_VALUE"""),22.0)</f>
        <v>22</v>
      </c>
      <c r="K24" s="20">
        <f>IFERROR(__xludf.DUMMYFUNCTION("""COMPUTED_VALUE"""),3.0)</f>
        <v>3</v>
      </c>
      <c r="L24" s="21">
        <f>IFERROR(__xludf.DUMMYFUNCTION("""COMPUTED_VALUE"""),0.14)</f>
        <v>0.14</v>
      </c>
      <c r="M24" s="20">
        <f>IFERROR(__xludf.DUMMYFUNCTION("""COMPUTED_VALUE"""),6.0)</f>
        <v>6</v>
      </c>
      <c r="N24" s="21">
        <f>IFERROR(__xludf.DUMMYFUNCTION("""COMPUTED_VALUE"""),0.27)</f>
        <v>0.27</v>
      </c>
      <c r="O24" s="20">
        <f>IFERROR(__xludf.DUMMYFUNCTION("""COMPUTED_VALUE"""),13.0)</f>
        <v>13</v>
      </c>
      <c r="P24" s="21">
        <f>IFERROR(__xludf.DUMMYFUNCTION("""COMPUTED_VALUE"""),0.59)</f>
        <v>0.59</v>
      </c>
      <c r="Q24" s="20">
        <f>IFERROR(__xludf.DUMMYFUNCTION("""COMPUTED_VALUE"""),0.0)</f>
        <v>0</v>
      </c>
      <c r="R24" s="21">
        <f>IFERROR(__xludf.DUMMYFUNCTION("""COMPUTED_VALUE"""),0.0)</f>
        <v>0</v>
      </c>
      <c r="S24" s="20">
        <f>IFERROR(__xludf.DUMMYFUNCTION("""COMPUTED_VALUE"""),0.0)</f>
        <v>0</v>
      </c>
      <c r="T24" s="21">
        <f>IFERROR(__xludf.DUMMYFUNCTION("""COMPUTED_VALUE"""),0.0)</f>
        <v>0</v>
      </c>
      <c r="U24" s="20">
        <f>IFERROR(__xludf.DUMMYFUNCTION("""COMPUTED_VALUE"""),0.0)</f>
        <v>0</v>
      </c>
      <c r="V24" s="21">
        <f>IFERROR(__xludf.DUMMYFUNCTION("""COMPUTED_VALUE"""),0.0)</f>
        <v>0</v>
      </c>
      <c r="W24" s="20">
        <f>IFERROR(__xludf.DUMMYFUNCTION("""COMPUTED_VALUE"""),22.0)</f>
        <v>22</v>
      </c>
      <c r="X24" s="20">
        <f>IFERROR(__xludf.DUMMYFUNCTION("""COMPUTED_VALUE"""),12.0)</f>
        <v>12</v>
      </c>
      <c r="Y24" s="21">
        <f>IFERROR(__xludf.DUMMYFUNCTION("""COMPUTED_VALUE"""),0.55)</f>
        <v>0.55</v>
      </c>
      <c r="Z24" s="20">
        <f>IFERROR(__xludf.DUMMYFUNCTION("""COMPUTED_VALUE"""),24.0)</f>
        <v>24</v>
      </c>
      <c r="AA24" s="20">
        <f>IFERROR(__xludf.DUMMYFUNCTION("""COMPUTED_VALUE"""),0.0)</f>
        <v>0</v>
      </c>
      <c r="AB24" s="21">
        <f>IFERROR(__xludf.DUMMYFUNCTION("""COMPUTED_VALUE"""),0.0)</f>
        <v>0</v>
      </c>
    </row>
    <row r="25">
      <c r="A25" s="20">
        <f>IFERROR(__xludf.DUMMYFUNCTION("""COMPUTED_VALUE"""),2770000.0)</f>
        <v>2770000</v>
      </c>
      <c r="B25" s="20" t="str">
        <f>IFERROR(__xludf.DUMMYFUNCTION("""COMPUTED_VALUE"""),"Southbridge")</f>
        <v>Southbridge</v>
      </c>
      <c r="C25" s="20">
        <f>IFERROR(__xludf.DUMMYFUNCTION("""COMPUTED_VALUE"""),2770020.0)</f>
        <v>2770020</v>
      </c>
      <c r="D25" s="20" t="str">
        <f>IFERROR(__xludf.DUMMYFUNCTION("""COMPUTED_VALUE"""),"West Street")</f>
        <v>West Street</v>
      </c>
      <c r="E25" s="24">
        <f>IFERROR(__xludf.DUMMYFUNCTION("""COMPUTED_VALUE"""),44198.0)</f>
        <v>44198</v>
      </c>
      <c r="F25" s="20" t="str">
        <f>IFERROR(__xludf.DUMMYFUNCTION("""COMPUTED_VALUE"""),"All")</f>
        <v>All</v>
      </c>
      <c r="G25" s="20">
        <f>IFERROR(__xludf.DUMMYFUNCTION("""COMPUTED_VALUE"""),25.0)</f>
        <v>25</v>
      </c>
      <c r="H25" s="20">
        <f>IFERROR(__xludf.DUMMYFUNCTION("""COMPUTED_VALUE"""),25.0)</f>
        <v>25</v>
      </c>
      <c r="I25" s="21">
        <f>IFERROR(__xludf.DUMMYFUNCTION("""COMPUTED_VALUE"""),1.0)</f>
        <v>1</v>
      </c>
      <c r="J25" s="20">
        <f>IFERROR(__xludf.DUMMYFUNCTION("""COMPUTED_VALUE"""),25.0)</f>
        <v>25</v>
      </c>
      <c r="K25" s="20">
        <f>IFERROR(__xludf.DUMMYFUNCTION("""COMPUTED_VALUE"""),5.0)</f>
        <v>5</v>
      </c>
      <c r="L25" s="21">
        <f>IFERROR(__xludf.DUMMYFUNCTION("""COMPUTED_VALUE"""),0.2)</f>
        <v>0.2</v>
      </c>
      <c r="M25" s="20">
        <f>IFERROR(__xludf.DUMMYFUNCTION("""COMPUTED_VALUE"""),12.0)</f>
        <v>12</v>
      </c>
      <c r="N25" s="21">
        <f>IFERROR(__xludf.DUMMYFUNCTION("""COMPUTED_VALUE"""),0.48)</f>
        <v>0.48</v>
      </c>
      <c r="O25" s="20">
        <f>IFERROR(__xludf.DUMMYFUNCTION("""COMPUTED_VALUE"""),7.0)</f>
        <v>7</v>
      </c>
      <c r="P25" s="21">
        <f>IFERROR(__xludf.DUMMYFUNCTION("""COMPUTED_VALUE"""),0.28)</f>
        <v>0.28</v>
      </c>
      <c r="Q25" s="20">
        <f>IFERROR(__xludf.DUMMYFUNCTION("""COMPUTED_VALUE"""),1.0)</f>
        <v>1</v>
      </c>
      <c r="R25" s="21">
        <f>IFERROR(__xludf.DUMMYFUNCTION("""COMPUTED_VALUE"""),0.04)</f>
        <v>0.04</v>
      </c>
      <c r="S25" s="20">
        <f>IFERROR(__xludf.DUMMYFUNCTION("""COMPUTED_VALUE"""),0.0)</f>
        <v>0</v>
      </c>
      <c r="T25" s="21">
        <f>IFERROR(__xludf.DUMMYFUNCTION("""COMPUTED_VALUE"""),0.0)</f>
        <v>0</v>
      </c>
      <c r="U25" s="20">
        <f>IFERROR(__xludf.DUMMYFUNCTION("""COMPUTED_VALUE"""),0.0)</f>
        <v>0</v>
      </c>
      <c r="V25" s="21">
        <f>IFERROR(__xludf.DUMMYFUNCTION("""COMPUTED_VALUE"""),0.0)</f>
        <v>0</v>
      </c>
      <c r="W25" s="20">
        <f>IFERROR(__xludf.DUMMYFUNCTION("""COMPUTED_VALUE"""),23.0)</f>
        <v>23</v>
      </c>
      <c r="X25" s="20">
        <f>IFERROR(__xludf.DUMMYFUNCTION("""COMPUTED_VALUE"""),5.0)</f>
        <v>5</v>
      </c>
      <c r="Y25" s="21">
        <f>IFERROR(__xludf.DUMMYFUNCTION("""COMPUTED_VALUE"""),0.22)</f>
        <v>0.22</v>
      </c>
      <c r="Z25" s="20">
        <f>IFERROR(__xludf.DUMMYFUNCTION("""COMPUTED_VALUE"""),25.0)</f>
        <v>25</v>
      </c>
      <c r="AA25" s="20">
        <f>IFERROR(__xludf.DUMMYFUNCTION("""COMPUTED_VALUE"""),1.0)</f>
        <v>1</v>
      </c>
      <c r="AB25" s="21">
        <f>IFERROR(__xludf.DUMMYFUNCTION("""COMPUTED_VALUE"""),0.04)</f>
        <v>0.04</v>
      </c>
    </row>
    <row r="26">
      <c r="A26" s="20">
        <f>IFERROR(__xludf.DUMMYFUNCTION("""COMPUTED_VALUE"""),3080000.0)</f>
        <v>3080000</v>
      </c>
      <c r="B26" s="20" t="str">
        <f>IFERROR(__xludf.DUMMYFUNCTION("""COMPUTED_VALUE"""),"Waltham")</f>
        <v>Waltham</v>
      </c>
      <c r="C26" s="20">
        <f>IFERROR(__xludf.DUMMYFUNCTION("""COMPUTED_VALUE"""),3080001.0)</f>
        <v>3080001</v>
      </c>
      <c r="D26" s="20" t="str">
        <f>IFERROR(__xludf.DUMMYFUNCTION("""COMPUTED_VALUE"""),"Waltham Public Schools Dual Language Program")</f>
        <v>Waltham Public Schools Dual Language Program</v>
      </c>
      <c r="E26" s="24">
        <f>IFERROR(__xludf.DUMMYFUNCTION("""COMPUTED_VALUE"""),44198.0)</f>
        <v>44198</v>
      </c>
      <c r="F26" s="20" t="str">
        <f>IFERROR(__xludf.DUMMYFUNCTION("""COMPUTED_VALUE"""),"All")</f>
        <v>All</v>
      </c>
      <c r="G26" s="20">
        <f>IFERROR(__xludf.DUMMYFUNCTION("""COMPUTED_VALUE"""),42.0)</f>
        <v>42</v>
      </c>
      <c r="H26" s="20">
        <f>IFERROR(__xludf.DUMMYFUNCTION("""COMPUTED_VALUE"""),42.0)</f>
        <v>42</v>
      </c>
      <c r="I26" s="21">
        <f>IFERROR(__xludf.DUMMYFUNCTION("""COMPUTED_VALUE"""),1.0)</f>
        <v>1</v>
      </c>
      <c r="J26" s="20">
        <f>IFERROR(__xludf.DUMMYFUNCTION("""COMPUTED_VALUE"""),42.0)</f>
        <v>42</v>
      </c>
      <c r="K26" s="20">
        <f>IFERROR(__xludf.DUMMYFUNCTION("""COMPUTED_VALUE"""),5.0)</f>
        <v>5</v>
      </c>
      <c r="L26" s="21">
        <f>IFERROR(__xludf.DUMMYFUNCTION("""COMPUTED_VALUE"""),0.12)</f>
        <v>0.12</v>
      </c>
      <c r="M26" s="20">
        <f>IFERROR(__xludf.DUMMYFUNCTION("""COMPUTED_VALUE"""),20.0)</f>
        <v>20</v>
      </c>
      <c r="N26" s="21">
        <f>IFERROR(__xludf.DUMMYFUNCTION("""COMPUTED_VALUE"""),0.48)</f>
        <v>0.48</v>
      </c>
      <c r="O26" s="20">
        <f>IFERROR(__xludf.DUMMYFUNCTION("""COMPUTED_VALUE"""),16.0)</f>
        <v>16</v>
      </c>
      <c r="P26" s="21">
        <f>IFERROR(__xludf.DUMMYFUNCTION("""COMPUTED_VALUE"""),0.38)</f>
        <v>0.38</v>
      </c>
      <c r="Q26" s="20">
        <f>IFERROR(__xludf.DUMMYFUNCTION("""COMPUTED_VALUE"""),1.0)</f>
        <v>1</v>
      </c>
      <c r="R26" s="21">
        <f>IFERROR(__xludf.DUMMYFUNCTION("""COMPUTED_VALUE"""),0.02)</f>
        <v>0.02</v>
      </c>
      <c r="S26" s="20">
        <f>IFERROR(__xludf.DUMMYFUNCTION("""COMPUTED_VALUE"""),0.0)</f>
        <v>0</v>
      </c>
      <c r="T26" s="21">
        <f>IFERROR(__xludf.DUMMYFUNCTION("""COMPUTED_VALUE"""),0.0)</f>
        <v>0</v>
      </c>
      <c r="U26" s="20">
        <f>IFERROR(__xludf.DUMMYFUNCTION("""COMPUTED_VALUE"""),0.0)</f>
        <v>0</v>
      </c>
      <c r="V26" s="21">
        <f>IFERROR(__xludf.DUMMYFUNCTION("""COMPUTED_VALUE"""),0.0)</f>
        <v>0</v>
      </c>
      <c r="W26" s="20">
        <f>IFERROR(__xludf.DUMMYFUNCTION("""COMPUTED_VALUE"""),42.0)</f>
        <v>42</v>
      </c>
      <c r="X26" s="20">
        <f>IFERROR(__xludf.DUMMYFUNCTION("""COMPUTED_VALUE"""),19.0)</f>
        <v>19</v>
      </c>
      <c r="Y26" s="21">
        <f>IFERROR(__xludf.DUMMYFUNCTION("""COMPUTED_VALUE"""),0.45)</f>
        <v>0.45</v>
      </c>
      <c r="Z26" s="20">
        <f>IFERROR(__xludf.DUMMYFUNCTION("""COMPUTED_VALUE"""),42.0)</f>
        <v>42</v>
      </c>
      <c r="AA26" s="20">
        <f>IFERROR(__xludf.DUMMYFUNCTION("""COMPUTED_VALUE"""),0.0)</f>
        <v>0</v>
      </c>
      <c r="AB26" s="21">
        <f>IFERROR(__xludf.DUMMYFUNCTION("""COMPUTED_VALUE"""),0.0)</f>
        <v>0</v>
      </c>
    </row>
    <row r="27">
      <c r="A27" s="20">
        <f>IFERROR(__xludf.DUMMYFUNCTION("""COMPUTED_VALUE"""),3150000.0)</f>
        <v>3150000</v>
      </c>
      <c r="B27" s="20" t="str">
        <f>IFERROR(__xludf.DUMMYFUNCTION("""COMPUTED_VALUE"""),"Wayland")</f>
        <v>Wayland</v>
      </c>
      <c r="C27" s="20">
        <f>IFERROR(__xludf.DUMMYFUNCTION("""COMPUTED_VALUE"""),3150020.0)</f>
        <v>3150020</v>
      </c>
      <c r="D27" s="20" t="str">
        <f>IFERROR(__xludf.DUMMYFUNCTION("""COMPUTED_VALUE"""),"Loker School")</f>
        <v>Loker School</v>
      </c>
      <c r="E27" s="24">
        <f>IFERROR(__xludf.DUMMYFUNCTION("""COMPUTED_VALUE"""),44198.0)</f>
        <v>44198</v>
      </c>
      <c r="F27" s="20" t="str">
        <f>IFERROR(__xludf.DUMMYFUNCTION("""COMPUTED_VALUE"""),"All")</f>
        <v>All</v>
      </c>
      <c r="G27" s="20">
        <f>IFERROR(__xludf.DUMMYFUNCTION("""COMPUTED_VALUE"""),16.0)</f>
        <v>16</v>
      </c>
      <c r="H27" s="20">
        <f>IFERROR(__xludf.DUMMYFUNCTION("""COMPUTED_VALUE"""),15.0)</f>
        <v>15</v>
      </c>
      <c r="I27" s="21">
        <f>IFERROR(__xludf.DUMMYFUNCTION("""COMPUTED_VALUE"""),0.94)</f>
        <v>0.94</v>
      </c>
      <c r="J27" s="20">
        <f>IFERROR(__xludf.DUMMYFUNCTION("""COMPUTED_VALUE"""),15.0)</f>
        <v>15</v>
      </c>
      <c r="K27" s="20">
        <f>IFERROR(__xludf.DUMMYFUNCTION("""COMPUTED_VALUE"""),0.0)</f>
        <v>0</v>
      </c>
      <c r="L27" s="21">
        <f>IFERROR(__xludf.DUMMYFUNCTION("""COMPUTED_VALUE"""),0.0)</f>
        <v>0</v>
      </c>
      <c r="M27" s="20">
        <f>IFERROR(__xludf.DUMMYFUNCTION("""COMPUTED_VALUE"""),0.0)</f>
        <v>0</v>
      </c>
      <c r="N27" s="21">
        <f>IFERROR(__xludf.DUMMYFUNCTION("""COMPUTED_VALUE"""),0.0)</f>
        <v>0</v>
      </c>
      <c r="O27" s="20">
        <f>IFERROR(__xludf.DUMMYFUNCTION("""COMPUTED_VALUE"""),7.0)</f>
        <v>7</v>
      </c>
      <c r="P27" s="21">
        <f>IFERROR(__xludf.DUMMYFUNCTION("""COMPUTED_VALUE"""),0.47)</f>
        <v>0.47</v>
      </c>
      <c r="Q27" s="20">
        <f>IFERROR(__xludf.DUMMYFUNCTION("""COMPUTED_VALUE"""),5.0)</f>
        <v>5</v>
      </c>
      <c r="R27" s="21">
        <f>IFERROR(__xludf.DUMMYFUNCTION("""COMPUTED_VALUE"""),0.33)</f>
        <v>0.33</v>
      </c>
      <c r="S27" s="20">
        <f>IFERROR(__xludf.DUMMYFUNCTION("""COMPUTED_VALUE"""),3.0)</f>
        <v>3</v>
      </c>
      <c r="T27" s="21">
        <f>IFERROR(__xludf.DUMMYFUNCTION("""COMPUTED_VALUE"""),0.2)</f>
        <v>0.2</v>
      </c>
      <c r="U27" s="20">
        <f>IFERROR(__xludf.DUMMYFUNCTION("""COMPUTED_VALUE"""),0.0)</f>
        <v>0</v>
      </c>
      <c r="V27" s="21">
        <f>IFERROR(__xludf.DUMMYFUNCTION("""COMPUTED_VALUE"""),0.0)</f>
        <v>0</v>
      </c>
      <c r="W27" s="20">
        <f>IFERROR(__xludf.DUMMYFUNCTION("""COMPUTED_VALUE"""),8.0)</f>
        <v>8</v>
      </c>
      <c r="X27" s="20"/>
      <c r="Y27" s="20"/>
      <c r="Z27" s="20">
        <f>IFERROR(__xludf.DUMMYFUNCTION("""COMPUTED_VALUE"""),16.0)</f>
        <v>16</v>
      </c>
      <c r="AA27" s="20">
        <f>IFERROR(__xludf.DUMMYFUNCTION("""COMPUTED_VALUE"""),6.0)</f>
        <v>6</v>
      </c>
      <c r="AB27" s="21">
        <f>IFERROR(__xludf.DUMMYFUNCTION("""COMPUTED_VALUE"""),0.38)</f>
        <v>0.38</v>
      </c>
    </row>
    <row r="28">
      <c r="A28" s="20">
        <f>IFERROR(__xludf.DUMMYFUNCTION("""COMPUTED_VALUE"""),3480000.0)</f>
        <v>3480000</v>
      </c>
      <c r="B28" s="20" t="str">
        <f>IFERROR(__xludf.DUMMYFUNCTION("""COMPUTED_VALUE"""),"Worcester")</f>
        <v>Worcester</v>
      </c>
      <c r="C28" s="20">
        <f>IFERROR(__xludf.DUMMYFUNCTION("""COMPUTED_VALUE"""),3480030.0)</f>
        <v>3480030</v>
      </c>
      <c r="D28" s="20" t="str">
        <f>IFERROR(__xludf.DUMMYFUNCTION("""COMPUTED_VALUE"""),"Woodland Academy")</f>
        <v>Woodland Academy</v>
      </c>
      <c r="E28" s="24">
        <f>IFERROR(__xludf.DUMMYFUNCTION("""COMPUTED_VALUE"""),44198.0)</f>
        <v>44198</v>
      </c>
      <c r="F28" s="20" t="str">
        <f>IFERROR(__xludf.DUMMYFUNCTION("""COMPUTED_VALUE"""),"All")</f>
        <v>All</v>
      </c>
      <c r="G28" s="20">
        <f>IFERROR(__xludf.DUMMYFUNCTION("""COMPUTED_VALUE"""),122.0)</f>
        <v>122</v>
      </c>
      <c r="H28" s="20">
        <f>IFERROR(__xludf.DUMMYFUNCTION("""COMPUTED_VALUE"""),122.0)</f>
        <v>122</v>
      </c>
      <c r="I28" s="21">
        <f>IFERROR(__xludf.DUMMYFUNCTION("""COMPUTED_VALUE"""),1.0)</f>
        <v>1</v>
      </c>
      <c r="J28" s="20">
        <f>IFERROR(__xludf.DUMMYFUNCTION("""COMPUTED_VALUE"""),122.0)</f>
        <v>122</v>
      </c>
      <c r="K28" s="20">
        <f>IFERROR(__xludf.DUMMYFUNCTION("""COMPUTED_VALUE"""),7.0)</f>
        <v>7</v>
      </c>
      <c r="L28" s="21">
        <f>IFERROR(__xludf.DUMMYFUNCTION("""COMPUTED_VALUE"""),0.06)</f>
        <v>0.06</v>
      </c>
      <c r="M28" s="20">
        <f>IFERROR(__xludf.DUMMYFUNCTION("""COMPUTED_VALUE"""),33.0)</f>
        <v>33</v>
      </c>
      <c r="N28" s="21">
        <f>IFERROR(__xludf.DUMMYFUNCTION("""COMPUTED_VALUE"""),0.27)</f>
        <v>0.27</v>
      </c>
      <c r="O28" s="20">
        <f>IFERROR(__xludf.DUMMYFUNCTION("""COMPUTED_VALUE"""),59.0)</f>
        <v>59</v>
      </c>
      <c r="P28" s="21">
        <f>IFERROR(__xludf.DUMMYFUNCTION("""COMPUTED_VALUE"""),0.48)</f>
        <v>0.48</v>
      </c>
      <c r="Q28" s="20">
        <f>IFERROR(__xludf.DUMMYFUNCTION("""COMPUTED_VALUE"""),23.0)</f>
        <v>23</v>
      </c>
      <c r="R28" s="21">
        <f>IFERROR(__xludf.DUMMYFUNCTION("""COMPUTED_VALUE"""),0.19)</f>
        <v>0.19</v>
      </c>
      <c r="S28" s="20">
        <f>IFERROR(__xludf.DUMMYFUNCTION("""COMPUTED_VALUE"""),0.0)</f>
        <v>0</v>
      </c>
      <c r="T28" s="21">
        <f>IFERROR(__xludf.DUMMYFUNCTION("""COMPUTED_VALUE"""),0.0)</f>
        <v>0</v>
      </c>
      <c r="U28" s="20">
        <f>IFERROR(__xludf.DUMMYFUNCTION("""COMPUTED_VALUE"""),0.0)</f>
        <v>0</v>
      </c>
      <c r="V28" s="21">
        <f>IFERROR(__xludf.DUMMYFUNCTION("""COMPUTED_VALUE"""),0.0)</f>
        <v>0</v>
      </c>
      <c r="W28" s="20">
        <f>IFERROR(__xludf.DUMMYFUNCTION("""COMPUTED_VALUE"""),105.0)</f>
        <v>105</v>
      </c>
      <c r="X28" s="20">
        <f>IFERROR(__xludf.DUMMYFUNCTION("""COMPUTED_VALUE"""),74.0)</f>
        <v>74</v>
      </c>
      <c r="Y28" s="21">
        <f>IFERROR(__xludf.DUMMYFUNCTION("""COMPUTED_VALUE"""),0.7)</f>
        <v>0.7</v>
      </c>
      <c r="Z28" s="20">
        <f>IFERROR(__xludf.DUMMYFUNCTION("""COMPUTED_VALUE"""),122.0)</f>
        <v>122</v>
      </c>
      <c r="AA28" s="20">
        <f>IFERROR(__xludf.DUMMYFUNCTION("""COMPUTED_VALUE"""),9.0)</f>
        <v>9</v>
      </c>
      <c r="AB28" s="21">
        <f>IFERROR(__xludf.DUMMYFUNCTION("""COMPUTED_VALUE"""),0.07)</f>
        <v>0.07</v>
      </c>
    </row>
    <row r="29">
      <c r="A29" s="20">
        <f>IFERROR(__xludf.DUMMYFUNCTION("""COMPUTED_VALUE"""),3480000.0)</f>
        <v>3480000</v>
      </c>
      <c r="B29" s="20" t="str">
        <f>IFERROR(__xludf.DUMMYFUNCTION("""COMPUTED_VALUE"""),"Worcester")</f>
        <v>Worcester</v>
      </c>
      <c r="C29" s="20">
        <f>IFERROR(__xludf.DUMMYFUNCTION("""COMPUTED_VALUE"""),3480052.0)</f>
        <v>3480052</v>
      </c>
      <c r="D29" s="20" t="str">
        <f>IFERROR(__xludf.DUMMYFUNCTION("""COMPUTED_VALUE"""),"Chandler Magnet")</f>
        <v>Chandler Magnet</v>
      </c>
      <c r="E29" s="24">
        <f>IFERROR(__xludf.DUMMYFUNCTION("""COMPUTED_VALUE"""),44198.0)</f>
        <v>44198</v>
      </c>
      <c r="F29" s="20" t="str">
        <f>IFERROR(__xludf.DUMMYFUNCTION("""COMPUTED_VALUE"""),"All")</f>
        <v>All</v>
      </c>
      <c r="G29" s="20">
        <f>IFERROR(__xludf.DUMMYFUNCTION("""COMPUTED_VALUE"""),84.0)</f>
        <v>84</v>
      </c>
      <c r="H29" s="20">
        <f>IFERROR(__xludf.DUMMYFUNCTION("""COMPUTED_VALUE"""),84.0)</f>
        <v>84</v>
      </c>
      <c r="I29" s="21">
        <f>IFERROR(__xludf.DUMMYFUNCTION("""COMPUTED_VALUE"""),1.0)</f>
        <v>1</v>
      </c>
      <c r="J29" s="20">
        <f>IFERROR(__xludf.DUMMYFUNCTION("""COMPUTED_VALUE"""),84.0)</f>
        <v>84</v>
      </c>
      <c r="K29" s="20">
        <f>IFERROR(__xludf.DUMMYFUNCTION("""COMPUTED_VALUE"""),15.0)</f>
        <v>15</v>
      </c>
      <c r="L29" s="21">
        <f>IFERROR(__xludf.DUMMYFUNCTION("""COMPUTED_VALUE"""),0.18)</f>
        <v>0.18</v>
      </c>
      <c r="M29" s="20">
        <f>IFERROR(__xludf.DUMMYFUNCTION("""COMPUTED_VALUE"""),33.0)</f>
        <v>33</v>
      </c>
      <c r="N29" s="21">
        <f>IFERROR(__xludf.DUMMYFUNCTION("""COMPUTED_VALUE"""),0.39)</f>
        <v>0.39</v>
      </c>
      <c r="O29" s="20">
        <f>IFERROR(__xludf.DUMMYFUNCTION("""COMPUTED_VALUE"""),34.0)</f>
        <v>34</v>
      </c>
      <c r="P29" s="21">
        <f>IFERROR(__xludf.DUMMYFUNCTION("""COMPUTED_VALUE"""),0.4)</f>
        <v>0.4</v>
      </c>
      <c r="Q29" s="20">
        <f>IFERROR(__xludf.DUMMYFUNCTION("""COMPUTED_VALUE"""),2.0)</f>
        <v>2</v>
      </c>
      <c r="R29" s="21">
        <f>IFERROR(__xludf.DUMMYFUNCTION("""COMPUTED_VALUE"""),0.02)</f>
        <v>0.02</v>
      </c>
      <c r="S29" s="20">
        <f>IFERROR(__xludf.DUMMYFUNCTION("""COMPUTED_VALUE"""),0.0)</f>
        <v>0</v>
      </c>
      <c r="T29" s="21">
        <f>IFERROR(__xludf.DUMMYFUNCTION("""COMPUTED_VALUE"""),0.0)</f>
        <v>0</v>
      </c>
      <c r="U29" s="20">
        <f>IFERROR(__xludf.DUMMYFUNCTION("""COMPUTED_VALUE"""),0.0)</f>
        <v>0</v>
      </c>
      <c r="V29" s="21">
        <f>IFERROR(__xludf.DUMMYFUNCTION("""COMPUTED_VALUE"""),0.0)</f>
        <v>0</v>
      </c>
      <c r="W29" s="20">
        <f>IFERROR(__xludf.DUMMYFUNCTION("""COMPUTED_VALUE"""),66.0)</f>
        <v>66</v>
      </c>
      <c r="X29" s="20">
        <f>IFERROR(__xludf.DUMMYFUNCTION("""COMPUTED_VALUE"""),34.0)</f>
        <v>34</v>
      </c>
      <c r="Y29" s="21">
        <f>IFERROR(__xludf.DUMMYFUNCTION("""COMPUTED_VALUE"""),0.52)</f>
        <v>0.52</v>
      </c>
      <c r="Z29" s="20">
        <f>IFERROR(__xludf.DUMMYFUNCTION("""COMPUTED_VALUE"""),84.0)</f>
        <v>84</v>
      </c>
      <c r="AA29" s="20">
        <f>IFERROR(__xludf.DUMMYFUNCTION("""COMPUTED_VALUE"""),0.0)</f>
        <v>0</v>
      </c>
      <c r="AB29" s="21">
        <f>IFERROR(__xludf.DUMMYFUNCTION("""COMPUTED_VALUE"""),0.0)</f>
        <v>0</v>
      </c>
    </row>
    <row r="30">
      <c r="A30" s="20">
        <f>IFERROR(__xludf.DUMMYFUNCTION("""COMPUTED_VALUE"""),3480000.0)</f>
        <v>3480000</v>
      </c>
      <c r="B30" s="20" t="str">
        <f>IFERROR(__xludf.DUMMYFUNCTION("""COMPUTED_VALUE"""),"Worcester")</f>
        <v>Worcester</v>
      </c>
      <c r="C30" s="20">
        <f>IFERROR(__xludf.DUMMYFUNCTION("""COMPUTED_VALUE"""),3480220.0)</f>
        <v>3480220</v>
      </c>
      <c r="D30" s="20" t="str">
        <f>IFERROR(__xludf.DUMMYFUNCTION("""COMPUTED_VALUE"""),"Roosevelt")</f>
        <v>Roosevelt</v>
      </c>
      <c r="E30" s="24">
        <f>IFERROR(__xludf.DUMMYFUNCTION("""COMPUTED_VALUE"""),44198.0)</f>
        <v>44198</v>
      </c>
      <c r="F30" s="20" t="str">
        <f>IFERROR(__xludf.DUMMYFUNCTION("""COMPUTED_VALUE"""),"All")</f>
        <v>All</v>
      </c>
      <c r="G30" s="20">
        <f>IFERROR(__xludf.DUMMYFUNCTION("""COMPUTED_VALUE"""),58.0)</f>
        <v>58</v>
      </c>
      <c r="H30" s="20">
        <f>IFERROR(__xludf.DUMMYFUNCTION("""COMPUTED_VALUE"""),58.0)</f>
        <v>58</v>
      </c>
      <c r="I30" s="21">
        <f>IFERROR(__xludf.DUMMYFUNCTION("""COMPUTED_VALUE"""),1.0)</f>
        <v>1</v>
      </c>
      <c r="J30" s="20">
        <f>IFERROR(__xludf.DUMMYFUNCTION("""COMPUTED_VALUE"""),54.0)</f>
        <v>54</v>
      </c>
      <c r="K30" s="20">
        <f>IFERROR(__xludf.DUMMYFUNCTION("""COMPUTED_VALUE"""),2.0)</f>
        <v>2</v>
      </c>
      <c r="L30" s="21">
        <f>IFERROR(__xludf.DUMMYFUNCTION("""COMPUTED_VALUE"""),0.04)</f>
        <v>0.04</v>
      </c>
      <c r="M30" s="20">
        <f>IFERROR(__xludf.DUMMYFUNCTION("""COMPUTED_VALUE"""),7.0)</f>
        <v>7</v>
      </c>
      <c r="N30" s="21">
        <f>IFERROR(__xludf.DUMMYFUNCTION("""COMPUTED_VALUE"""),0.13)</f>
        <v>0.13</v>
      </c>
      <c r="O30" s="20">
        <f>IFERROR(__xludf.DUMMYFUNCTION("""COMPUTED_VALUE"""),27.0)</f>
        <v>27</v>
      </c>
      <c r="P30" s="21">
        <f>IFERROR(__xludf.DUMMYFUNCTION("""COMPUTED_VALUE"""),0.5)</f>
        <v>0.5</v>
      </c>
      <c r="Q30" s="20">
        <f>IFERROR(__xludf.DUMMYFUNCTION("""COMPUTED_VALUE"""),15.0)</f>
        <v>15</v>
      </c>
      <c r="R30" s="21">
        <f>IFERROR(__xludf.DUMMYFUNCTION("""COMPUTED_VALUE"""),0.28)</f>
        <v>0.28</v>
      </c>
      <c r="S30" s="20">
        <f>IFERROR(__xludf.DUMMYFUNCTION("""COMPUTED_VALUE"""),3.0)</f>
        <v>3</v>
      </c>
      <c r="T30" s="21">
        <f>IFERROR(__xludf.DUMMYFUNCTION("""COMPUTED_VALUE"""),0.06)</f>
        <v>0.06</v>
      </c>
      <c r="U30" s="20">
        <f>IFERROR(__xludf.DUMMYFUNCTION("""COMPUTED_VALUE"""),0.0)</f>
        <v>0</v>
      </c>
      <c r="V30" s="21">
        <f>IFERROR(__xludf.DUMMYFUNCTION("""COMPUTED_VALUE"""),0.0)</f>
        <v>0</v>
      </c>
      <c r="W30" s="20">
        <f>IFERROR(__xludf.DUMMYFUNCTION("""COMPUTED_VALUE"""),53.0)</f>
        <v>53</v>
      </c>
      <c r="X30" s="20">
        <f>IFERROR(__xludf.DUMMYFUNCTION("""COMPUTED_VALUE"""),38.0)</f>
        <v>38</v>
      </c>
      <c r="Y30" s="21">
        <f>IFERROR(__xludf.DUMMYFUNCTION("""COMPUTED_VALUE"""),0.72)</f>
        <v>0.72</v>
      </c>
      <c r="Z30" s="20">
        <f>IFERROR(__xludf.DUMMYFUNCTION("""COMPUTED_VALUE"""),58.0)</f>
        <v>58</v>
      </c>
      <c r="AA30" s="20">
        <f>IFERROR(__xludf.DUMMYFUNCTION("""COMPUTED_VALUE"""),12.0)</f>
        <v>12</v>
      </c>
      <c r="AB30" s="21">
        <f>IFERROR(__xludf.DUMMYFUNCTION("""COMPUTED_VALUE"""),0.21)</f>
        <v>0.21</v>
      </c>
    </row>
    <row r="31">
      <c r="A31" s="20">
        <f>IFERROR(__xludf.DUMMYFUNCTION("""COMPUTED_VALUE"""),7100000.0)</f>
        <v>7100000</v>
      </c>
      <c r="B31" s="20" t="str">
        <f>IFERROR(__xludf.DUMMYFUNCTION("""COMPUTED_VALUE"""),"Mendon-Upton")</f>
        <v>Mendon-Upton</v>
      </c>
      <c r="C31" s="20">
        <f>IFERROR(__xludf.DUMMYFUNCTION("""COMPUTED_VALUE"""),7100001.0)</f>
        <v>7100001</v>
      </c>
      <c r="D31" s="20" t="str">
        <f>IFERROR(__xludf.DUMMYFUNCTION("""COMPUTED_VALUE"""),"Memorial School")</f>
        <v>Memorial School</v>
      </c>
      <c r="E31" s="24">
        <f>IFERROR(__xludf.DUMMYFUNCTION("""COMPUTED_VALUE"""),44198.0)</f>
        <v>44198</v>
      </c>
      <c r="F31" s="20" t="str">
        <f>IFERROR(__xludf.DUMMYFUNCTION("""COMPUTED_VALUE"""),"All")</f>
        <v>All</v>
      </c>
      <c r="G31" s="20">
        <f>IFERROR(__xludf.DUMMYFUNCTION("""COMPUTED_VALUE"""),10.0)</f>
        <v>10</v>
      </c>
      <c r="H31" s="20">
        <f>IFERROR(__xludf.DUMMYFUNCTION("""COMPUTED_VALUE"""),10.0)</f>
        <v>10</v>
      </c>
      <c r="I31" s="21">
        <f>IFERROR(__xludf.DUMMYFUNCTION("""COMPUTED_VALUE"""),1.0)</f>
        <v>1</v>
      </c>
      <c r="J31" s="20">
        <f>IFERROR(__xludf.DUMMYFUNCTION("""COMPUTED_VALUE"""),10.0)</f>
        <v>10</v>
      </c>
      <c r="K31" s="20">
        <f>IFERROR(__xludf.DUMMYFUNCTION("""COMPUTED_VALUE"""),0.0)</f>
        <v>0</v>
      </c>
      <c r="L31" s="21">
        <f>IFERROR(__xludf.DUMMYFUNCTION("""COMPUTED_VALUE"""),0.0)</f>
        <v>0</v>
      </c>
      <c r="M31" s="20">
        <f>IFERROR(__xludf.DUMMYFUNCTION("""COMPUTED_VALUE"""),1.0)</f>
        <v>1</v>
      </c>
      <c r="N31" s="21">
        <f>IFERROR(__xludf.DUMMYFUNCTION("""COMPUTED_VALUE"""),0.1)</f>
        <v>0.1</v>
      </c>
      <c r="O31" s="20">
        <f>IFERROR(__xludf.DUMMYFUNCTION("""COMPUTED_VALUE"""),4.0)</f>
        <v>4</v>
      </c>
      <c r="P31" s="21">
        <f>IFERROR(__xludf.DUMMYFUNCTION("""COMPUTED_VALUE"""),0.4)</f>
        <v>0.4</v>
      </c>
      <c r="Q31" s="20">
        <f>IFERROR(__xludf.DUMMYFUNCTION("""COMPUTED_VALUE"""),4.0)</f>
        <v>4</v>
      </c>
      <c r="R31" s="21">
        <f>IFERROR(__xludf.DUMMYFUNCTION("""COMPUTED_VALUE"""),0.4)</f>
        <v>0.4</v>
      </c>
      <c r="S31" s="20">
        <f>IFERROR(__xludf.DUMMYFUNCTION("""COMPUTED_VALUE"""),1.0)</f>
        <v>1</v>
      </c>
      <c r="T31" s="21">
        <f>IFERROR(__xludf.DUMMYFUNCTION("""COMPUTED_VALUE"""),0.1)</f>
        <v>0.1</v>
      </c>
      <c r="U31" s="20">
        <f>IFERROR(__xludf.DUMMYFUNCTION("""COMPUTED_VALUE"""),0.0)</f>
        <v>0</v>
      </c>
      <c r="V31" s="21">
        <f>IFERROR(__xludf.DUMMYFUNCTION("""COMPUTED_VALUE"""),0.0)</f>
        <v>0</v>
      </c>
      <c r="W31" s="20">
        <f>IFERROR(__xludf.DUMMYFUNCTION("""COMPUTED_VALUE"""),10.0)</f>
        <v>10</v>
      </c>
      <c r="X31" s="20">
        <f>IFERROR(__xludf.DUMMYFUNCTION("""COMPUTED_VALUE"""),9.0)</f>
        <v>9</v>
      </c>
      <c r="Y31" s="21">
        <f>IFERROR(__xludf.DUMMYFUNCTION("""COMPUTED_VALUE"""),0.9)</f>
        <v>0.9</v>
      </c>
      <c r="Z31" s="20">
        <f>IFERROR(__xludf.DUMMYFUNCTION("""COMPUTED_VALUE"""),10.0)</f>
        <v>10</v>
      </c>
      <c r="AA31" s="20">
        <f>IFERROR(__xludf.DUMMYFUNCTION("""COMPUTED_VALUE"""),4.0)</f>
        <v>4</v>
      </c>
      <c r="AB31" s="21">
        <f>IFERROR(__xludf.DUMMYFUNCTION("""COMPUTED_VALUE"""),0.4)</f>
        <v>0.4</v>
      </c>
    </row>
    <row r="32">
      <c r="L32" s="22">
        <f>AVERAGE(L7:L31)</f>
        <v>0.1236</v>
      </c>
      <c r="N32" s="22">
        <f>AVERAGE(N7:N31)</f>
        <v>0.318</v>
      </c>
      <c r="P32" s="22">
        <f>AVERAGE(P7:P31)</f>
        <v>0.4076</v>
      </c>
      <c r="R32" s="22">
        <f>AVERAGE(R7:R31)</f>
        <v>0.132</v>
      </c>
      <c r="T32" s="22">
        <f>AVERAGE(T7:T31)</f>
        <v>0.0196</v>
      </c>
      <c r="V32" s="22">
        <f>AVERAGE(V7:V31)</f>
        <v>0</v>
      </c>
    </row>
    <row r="34">
      <c r="L34" s="21">
        <f>MEDIAN(L7:L31)</f>
        <v>0.12</v>
      </c>
      <c r="N34" s="21">
        <f>MEDIAN(N7:N31)</f>
        <v>0.32</v>
      </c>
      <c r="P34" s="21">
        <f>MEDIAN(P7:P31)</f>
        <v>0.4</v>
      </c>
      <c r="R34" s="21">
        <f>MEDIAN(R7:R31)</f>
        <v>0.12</v>
      </c>
      <c r="T34" s="21">
        <f>MEDIAN(T7:T31)</f>
        <v>0</v>
      </c>
      <c r="V34" s="21">
        <f>MEDIAN(V7:V31)</f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8.57"/>
    <col customWidth="1" min="6" max="6" width="18.43"/>
    <col customWidth="1" min="7" max="7" width="11.14"/>
    <col customWidth="1" min="8" max="8" width="22.86"/>
    <col customWidth="1" min="9" max="9" width="16.71"/>
    <col customWidth="1" min="10" max="10" width="8.71"/>
    <col customWidth="1" min="11" max="11" width="20.43"/>
    <col customWidth="1" min="14" max="15" width="11.71"/>
    <col customWidth="1" min="16" max="16" width="12.0"/>
    <col customWidth="1" min="17" max="17" width="10.43"/>
    <col customWidth="1" min="18" max="18" width="11.71"/>
    <col customWidth="1" min="19" max="19" width="10.71"/>
    <col customWidth="1" min="20" max="21" width="11.71"/>
    <col customWidth="1" min="22" max="22" width="11.43"/>
    <col customWidth="1" min="23" max="23" width="20.14"/>
    <col customWidth="1" min="24" max="24" width="17.0"/>
    <col customWidth="1" min="25" max="25" width="17.57"/>
    <col customWidth="1" min="26" max="26" width="29.86"/>
    <col customWidth="1" min="27" max="27" width="19.71"/>
    <col customWidth="1" min="28" max="28" width="20.29"/>
  </cols>
  <sheetData>
    <row r="3">
      <c r="B3" s="19" t="s">
        <v>4</v>
      </c>
      <c r="C3" s="24">
        <v>44260.0</v>
      </c>
    </row>
    <row r="7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3" t="s">
        <v>8</v>
      </c>
      <c r="J7" s="2" t="s">
        <v>10</v>
      </c>
      <c r="K7" s="3" t="s">
        <v>9</v>
      </c>
      <c r="L7" s="4" t="s">
        <v>11</v>
      </c>
      <c r="M7" s="2" t="s">
        <v>12</v>
      </c>
      <c r="N7" s="4" t="s">
        <v>13</v>
      </c>
      <c r="O7" s="2" t="s">
        <v>14</v>
      </c>
      <c r="P7" s="4" t="s">
        <v>15</v>
      </c>
      <c r="Q7" s="2" t="s">
        <v>16</v>
      </c>
      <c r="R7" s="4" t="s">
        <v>17</v>
      </c>
      <c r="S7" s="2" t="s">
        <v>18</v>
      </c>
      <c r="T7" s="4" t="s">
        <v>19</v>
      </c>
      <c r="U7" s="2" t="s">
        <v>20</v>
      </c>
      <c r="V7" s="4" t="s">
        <v>21</v>
      </c>
      <c r="W7" s="2" t="s">
        <v>22</v>
      </c>
      <c r="X7" s="5" t="s">
        <v>23</v>
      </c>
      <c r="Y7" s="6" t="s">
        <v>24</v>
      </c>
      <c r="Z7" s="5" t="s">
        <v>25</v>
      </c>
      <c r="AA7" s="7" t="s">
        <v>26</v>
      </c>
      <c r="AB7" s="8" t="s">
        <v>27</v>
      </c>
    </row>
    <row r="8">
      <c r="A8" s="25">
        <f>IFERROR(__xludf.DUMMYFUNCTION("FILTER('ACCESS DLTB'!A2:AB3061,'ACCESS DLTB'!E2:E3061=C3)"),80000.0)</f>
        <v>80000</v>
      </c>
      <c r="B8" s="20" t="str">
        <f>IFERROR(__xludf.DUMMYFUNCTION("""COMPUTED_VALUE"""),"Amherst")</f>
        <v>Amherst</v>
      </c>
      <c r="C8" s="20">
        <f>IFERROR(__xludf.DUMMYFUNCTION("""COMPUTED_VALUE"""),80020.0)</f>
        <v>80020</v>
      </c>
      <c r="D8" s="20" t="str">
        <f>IFERROR(__xludf.DUMMYFUNCTION("""COMPUTED_VALUE"""),"Fort River Elementary")</f>
        <v>Fort River Elementary</v>
      </c>
      <c r="E8" s="24">
        <f>IFERROR(__xludf.DUMMYFUNCTION("""COMPUTED_VALUE"""),44260.0)</f>
        <v>44260</v>
      </c>
      <c r="F8" s="20" t="str">
        <f>IFERROR(__xludf.DUMMYFUNCTION("""COMPUTED_VALUE"""),"All")</f>
        <v>All</v>
      </c>
      <c r="G8" s="20">
        <f>IFERROR(__xludf.DUMMYFUNCTION("""COMPUTED_VALUE"""),18.0)</f>
        <v>18</v>
      </c>
      <c r="H8" s="20">
        <f>IFERROR(__xludf.DUMMYFUNCTION("""COMPUTED_VALUE"""),18.0)</f>
        <v>18</v>
      </c>
      <c r="I8" s="21">
        <f>IFERROR(__xludf.DUMMYFUNCTION("""COMPUTED_VALUE"""),1.0)</f>
        <v>1</v>
      </c>
      <c r="J8" s="20">
        <f>IFERROR(__xludf.DUMMYFUNCTION("""COMPUTED_VALUE"""),18.0)</f>
        <v>18</v>
      </c>
      <c r="K8" s="20">
        <f>IFERROR(__xludf.DUMMYFUNCTION("""COMPUTED_VALUE"""),0.0)</f>
        <v>0</v>
      </c>
      <c r="L8" s="21">
        <f>IFERROR(__xludf.DUMMYFUNCTION("""COMPUTED_VALUE"""),0.0)</f>
        <v>0</v>
      </c>
      <c r="M8" s="20">
        <f>IFERROR(__xludf.DUMMYFUNCTION("""COMPUTED_VALUE"""),1.0)</f>
        <v>1</v>
      </c>
      <c r="N8" s="21">
        <f>IFERROR(__xludf.DUMMYFUNCTION("""COMPUTED_VALUE"""),0.06)</f>
        <v>0.06</v>
      </c>
      <c r="O8" s="20">
        <f>IFERROR(__xludf.DUMMYFUNCTION("""COMPUTED_VALUE"""),7.0)</f>
        <v>7</v>
      </c>
      <c r="P8" s="21">
        <f>IFERROR(__xludf.DUMMYFUNCTION("""COMPUTED_VALUE"""),0.39)</f>
        <v>0.39</v>
      </c>
      <c r="Q8" s="20">
        <f>IFERROR(__xludf.DUMMYFUNCTION("""COMPUTED_VALUE"""),9.0)</f>
        <v>9</v>
      </c>
      <c r="R8" s="21">
        <f>IFERROR(__xludf.DUMMYFUNCTION("""COMPUTED_VALUE"""),0.5)</f>
        <v>0.5</v>
      </c>
      <c r="S8" s="20">
        <f>IFERROR(__xludf.DUMMYFUNCTION("""COMPUTED_VALUE"""),1.0)</f>
        <v>1</v>
      </c>
      <c r="T8" s="21">
        <f>IFERROR(__xludf.DUMMYFUNCTION("""COMPUTED_VALUE"""),0.06)</f>
        <v>0.06</v>
      </c>
      <c r="U8" s="20">
        <f>IFERROR(__xludf.DUMMYFUNCTION("""COMPUTED_VALUE"""),0.0)</f>
        <v>0</v>
      </c>
      <c r="V8" s="21">
        <f>IFERROR(__xludf.DUMMYFUNCTION("""COMPUTED_VALUE"""),0.0)</f>
        <v>0</v>
      </c>
      <c r="W8" s="20">
        <f>IFERROR(__xludf.DUMMYFUNCTION("""COMPUTED_VALUE"""),16.0)</f>
        <v>16</v>
      </c>
      <c r="X8" s="20">
        <f>IFERROR(__xludf.DUMMYFUNCTION("""COMPUTED_VALUE"""),13.0)</f>
        <v>13</v>
      </c>
      <c r="Y8" s="21">
        <f>IFERROR(__xludf.DUMMYFUNCTION("""COMPUTED_VALUE"""),0.81)</f>
        <v>0.81</v>
      </c>
      <c r="Z8" s="20">
        <f>IFERROR(__xludf.DUMMYFUNCTION("""COMPUTED_VALUE"""),18.0)</f>
        <v>18</v>
      </c>
      <c r="AA8" s="20">
        <f>IFERROR(__xludf.DUMMYFUNCTION("""COMPUTED_VALUE"""),9.0)</f>
        <v>9</v>
      </c>
      <c r="AB8" s="21">
        <f>IFERROR(__xludf.DUMMYFUNCTION("""COMPUTED_VALUE"""),0.5)</f>
        <v>0.5</v>
      </c>
    </row>
    <row r="9">
      <c r="A9" s="20">
        <f>IFERROR(__xludf.DUMMYFUNCTION("""COMPUTED_VALUE"""),350000.0)</f>
        <v>350000</v>
      </c>
      <c r="B9" s="20" t="str">
        <f>IFERROR(__xludf.DUMMYFUNCTION("""COMPUTED_VALUE"""),"Boston")</f>
        <v>Boston</v>
      </c>
      <c r="C9" s="20">
        <f>IFERROR(__xludf.DUMMYFUNCTION("""COMPUTED_VALUE"""),350182.0)</f>
        <v>350182</v>
      </c>
      <c r="D9" s="20" t="str">
        <f>IFERROR(__xludf.DUMMYFUNCTION("""COMPUTED_VALUE"""),"Joseph J Hurley")</f>
        <v>Joseph J Hurley</v>
      </c>
      <c r="E9" s="24">
        <f>IFERROR(__xludf.DUMMYFUNCTION("""COMPUTED_VALUE"""),44260.0)</f>
        <v>44260</v>
      </c>
      <c r="F9" s="20" t="str">
        <f>IFERROR(__xludf.DUMMYFUNCTION("""COMPUTED_VALUE"""),"All")</f>
        <v>All</v>
      </c>
      <c r="G9" s="20">
        <f>IFERROR(__xludf.DUMMYFUNCTION("""COMPUTED_VALUE"""),65.0)</f>
        <v>65</v>
      </c>
      <c r="H9" s="20">
        <f>IFERROR(__xludf.DUMMYFUNCTION("""COMPUTED_VALUE"""),65.0)</f>
        <v>65</v>
      </c>
      <c r="I9" s="21">
        <f>IFERROR(__xludf.DUMMYFUNCTION("""COMPUTED_VALUE"""),1.0)</f>
        <v>1</v>
      </c>
      <c r="J9" s="20">
        <f>IFERROR(__xludf.DUMMYFUNCTION("""COMPUTED_VALUE"""),65.0)</f>
        <v>65</v>
      </c>
      <c r="K9" s="20">
        <f>IFERROR(__xludf.DUMMYFUNCTION("""COMPUTED_VALUE"""),0.0)</f>
        <v>0</v>
      </c>
      <c r="L9" s="21">
        <f>IFERROR(__xludf.DUMMYFUNCTION("""COMPUTED_VALUE"""),0.0)</f>
        <v>0</v>
      </c>
      <c r="M9" s="20">
        <f>IFERROR(__xludf.DUMMYFUNCTION("""COMPUTED_VALUE"""),2.0)</f>
        <v>2</v>
      </c>
      <c r="N9" s="21">
        <f>IFERROR(__xludf.DUMMYFUNCTION("""COMPUTED_VALUE"""),0.03)</f>
        <v>0.03</v>
      </c>
      <c r="O9" s="20">
        <f>IFERROR(__xludf.DUMMYFUNCTION("""COMPUTED_VALUE"""),21.0)</f>
        <v>21</v>
      </c>
      <c r="P9" s="21">
        <f>IFERROR(__xludf.DUMMYFUNCTION("""COMPUTED_VALUE"""),0.32)</f>
        <v>0.32</v>
      </c>
      <c r="Q9" s="20">
        <f>IFERROR(__xludf.DUMMYFUNCTION("""COMPUTED_VALUE"""),28.0)</f>
        <v>28</v>
      </c>
      <c r="R9" s="21">
        <f>IFERROR(__xludf.DUMMYFUNCTION("""COMPUTED_VALUE"""),0.43)</f>
        <v>0.43</v>
      </c>
      <c r="S9" s="20">
        <f>IFERROR(__xludf.DUMMYFUNCTION("""COMPUTED_VALUE"""),10.0)</f>
        <v>10</v>
      </c>
      <c r="T9" s="21">
        <f>IFERROR(__xludf.DUMMYFUNCTION("""COMPUTED_VALUE"""),0.15)</f>
        <v>0.15</v>
      </c>
      <c r="U9" s="20">
        <f>IFERROR(__xludf.DUMMYFUNCTION("""COMPUTED_VALUE"""),4.0)</f>
        <v>4</v>
      </c>
      <c r="V9" s="21">
        <f>IFERROR(__xludf.DUMMYFUNCTION("""COMPUTED_VALUE"""),0.06)</f>
        <v>0.06</v>
      </c>
      <c r="W9" s="20">
        <f>IFERROR(__xludf.DUMMYFUNCTION("""COMPUTED_VALUE"""),64.0)</f>
        <v>64</v>
      </c>
      <c r="X9" s="20">
        <f>IFERROR(__xludf.DUMMYFUNCTION("""COMPUTED_VALUE"""),50.0)</f>
        <v>50</v>
      </c>
      <c r="Y9" s="21">
        <f>IFERROR(__xludf.DUMMYFUNCTION("""COMPUTED_VALUE"""),0.78)</f>
        <v>0.78</v>
      </c>
      <c r="Z9" s="20">
        <f>IFERROR(__xludf.DUMMYFUNCTION("""COMPUTED_VALUE"""),65.0)</f>
        <v>65</v>
      </c>
      <c r="AA9" s="20">
        <f>IFERROR(__xludf.DUMMYFUNCTION("""COMPUTED_VALUE"""),37.0)</f>
        <v>37</v>
      </c>
      <c r="AB9" s="21">
        <f>IFERROR(__xludf.DUMMYFUNCTION("""COMPUTED_VALUE"""),0.57)</f>
        <v>0.57</v>
      </c>
    </row>
    <row r="10">
      <c r="A10" s="20">
        <f>IFERROR(__xludf.DUMMYFUNCTION("""COMPUTED_VALUE"""),350000.0)</f>
        <v>350000</v>
      </c>
      <c r="B10" s="20" t="str">
        <f>IFERROR(__xludf.DUMMYFUNCTION("""COMPUTED_VALUE"""),"Boston")</f>
        <v>Boston</v>
      </c>
      <c r="C10" s="20">
        <f>IFERROR(__xludf.DUMMYFUNCTION("""COMPUTED_VALUE"""),350308.0)</f>
        <v>350308</v>
      </c>
      <c r="D10" s="20" t="str">
        <f>IFERROR(__xludf.DUMMYFUNCTION("""COMPUTED_VALUE"""),"Sarah Greenwood")</f>
        <v>Sarah Greenwood</v>
      </c>
      <c r="E10" s="24">
        <f>IFERROR(__xludf.DUMMYFUNCTION("""COMPUTED_VALUE"""),44260.0)</f>
        <v>44260</v>
      </c>
      <c r="F10" s="20" t="str">
        <f>IFERROR(__xludf.DUMMYFUNCTION("""COMPUTED_VALUE"""),"All")</f>
        <v>All</v>
      </c>
      <c r="G10" s="20">
        <f>IFERROR(__xludf.DUMMYFUNCTION("""COMPUTED_VALUE"""),77.0)</f>
        <v>77</v>
      </c>
      <c r="H10" s="20">
        <f>IFERROR(__xludf.DUMMYFUNCTION("""COMPUTED_VALUE"""),76.0)</f>
        <v>76</v>
      </c>
      <c r="I10" s="21">
        <f>IFERROR(__xludf.DUMMYFUNCTION("""COMPUTED_VALUE"""),0.99)</f>
        <v>0.99</v>
      </c>
      <c r="J10" s="20">
        <f>IFERROR(__xludf.DUMMYFUNCTION("""COMPUTED_VALUE"""),76.0)</f>
        <v>76</v>
      </c>
      <c r="K10" s="20">
        <f>IFERROR(__xludf.DUMMYFUNCTION("""COMPUTED_VALUE"""),8.0)</f>
        <v>8</v>
      </c>
      <c r="L10" s="21">
        <f>IFERROR(__xludf.DUMMYFUNCTION("""COMPUTED_VALUE"""),0.11)</f>
        <v>0.11</v>
      </c>
      <c r="M10" s="20">
        <f>IFERROR(__xludf.DUMMYFUNCTION("""COMPUTED_VALUE"""),11.0)</f>
        <v>11</v>
      </c>
      <c r="N10" s="21">
        <f>IFERROR(__xludf.DUMMYFUNCTION("""COMPUTED_VALUE"""),0.14)</f>
        <v>0.14</v>
      </c>
      <c r="O10" s="20">
        <f>IFERROR(__xludf.DUMMYFUNCTION("""COMPUTED_VALUE"""),30.0)</f>
        <v>30</v>
      </c>
      <c r="P10" s="21">
        <f>IFERROR(__xludf.DUMMYFUNCTION("""COMPUTED_VALUE"""),0.39)</f>
        <v>0.39</v>
      </c>
      <c r="Q10" s="20">
        <f>IFERROR(__xludf.DUMMYFUNCTION("""COMPUTED_VALUE"""),25.0)</f>
        <v>25</v>
      </c>
      <c r="R10" s="21">
        <f>IFERROR(__xludf.DUMMYFUNCTION("""COMPUTED_VALUE"""),0.33)</f>
        <v>0.33</v>
      </c>
      <c r="S10" s="20">
        <f>IFERROR(__xludf.DUMMYFUNCTION("""COMPUTED_VALUE"""),2.0)</f>
        <v>2</v>
      </c>
      <c r="T10" s="21">
        <f>IFERROR(__xludf.DUMMYFUNCTION("""COMPUTED_VALUE"""),0.03)</f>
        <v>0.03</v>
      </c>
      <c r="U10" s="20">
        <f>IFERROR(__xludf.DUMMYFUNCTION("""COMPUTED_VALUE"""),0.0)</f>
        <v>0</v>
      </c>
      <c r="V10" s="21">
        <f>IFERROR(__xludf.DUMMYFUNCTION("""COMPUTED_VALUE"""),0.0)</f>
        <v>0</v>
      </c>
      <c r="W10" s="20">
        <f>IFERROR(__xludf.DUMMYFUNCTION("""COMPUTED_VALUE"""),59.0)</f>
        <v>59</v>
      </c>
      <c r="X10" s="20">
        <f>IFERROR(__xludf.DUMMYFUNCTION("""COMPUTED_VALUE"""),26.0)</f>
        <v>26</v>
      </c>
      <c r="Y10" s="21">
        <f>IFERROR(__xludf.DUMMYFUNCTION("""COMPUTED_VALUE"""),0.44)</f>
        <v>0.44</v>
      </c>
      <c r="Z10" s="20">
        <f>IFERROR(__xludf.DUMMYFUNCTION("""COMPUTED_VALUE"""),77.0)</f>
        <v>77</v>
      </c>
      <c r="AA10" s="20">
        <f>IFERROR(__xludf.DUMMYFUNCTION("""COMPUTED_VALUE"""),14.0)</f>
        <v>14</v>
      </c>
      <c r="AB10" s="21">
        <f>IFERROR(__xludf.DUMMYFUNCTION("""COMPUTED_VALUE"""),0.18)</f>
        <v>0.18</v>
      </c>
    </row>
    <row r="11">
      <c r="A11" s="20">
        <f>IFERROR(__xludf.DUMMYFUNCTION("""COMPUTED_VALUE"""),350000.0)</f>
        <v>350000</v>
      </c>
      <c r="B11" s="20" t="str">
        <f>IFERROR(__xludf.DUMMYFUNCTION("""COMPUTED_VALUE"""),"Boston")</f>
        <v>Boston</v>
      </c>
      <c r="C11" s="20">
        <f>IFERROR(__xludf.DUMMYFUNCTION("""COMPUTED_VALUE"""),350656.0)</f>
        <v>350656</v>
      </c>
      <c r="D11" s="20" t="str">
        <f>IFERROR(__xludf.DUMMYFUNCTION("""COMPUTED_VALUE"""),"Mario Umana Academy")</f>
        <v>Mario Umana Academy</v>
      </c>
      <c r="E11" s="24">
        <f>IFERROR(__xludf.DUMMYFUNCTION("""COMPUTED_VALUE"""),44260.0)</f>
        <v>44260</v>
      </c>
      <c r="F11" s="20" t="str">
        <f>IFERROR(__xludf.DUMMYFUNCTION("""COMPUTED_VALUE"""),"All")</f>
        <v>All</v>
      </c>
      <c r="G11" s="20">
        <f>IFERROR(__xludf.DUMMYFUNCTION("""COMPUTED_VALUE"""),155.0)</f>
        <v>155</v>
      </c>
      <c r="H11" s="20">
        <f>IFERROR(__xludf.DUMMYFUNCTION("""COMPUTED_VALUE"""),155.0)</f>
        <v>155</v>
      </c>
      <c r="I11" s="21">
        <f>IFERROR(__xludf.DUMMYFUNCTION("""COMPUTED_VALUE"""),1.0)</f>
        <v>1</v>
      </c>
      <c r="J11" s="20">
        <f>IFERROR(__xludf.DUMMYFUNCTION("""COMPUTED_VALUE"""),144.0)</f>
        <v>144</v>
      </c>
      <c r="K11" s="20">
        <f>IFERROR(__xludf.DUMMYFUNCTION("""COMPUTED_VALUE"""),8.0)</f>
        <v>8</v>
      </c>
      <c r="L11" s="21">
        <f>IFERROR(__xludf.DUMMYFUNCTION("""COMPUTED_VALUE"""),0.06)</f>
        <v>0.06</v>
      </c>
      <c r="M11" s="20">
        <f>IFERROR(__xludf.DUMMYFUNCTION("""COMPUTED_VALUE"""),18.0)</f>
        <v>18</v>
      </c>
      <c r="N11" s="21">
        <f>IFERROR(__xludf.DUMMYFUNCTION("""COMPUTED_VALUE"""),0.13)</f>
        <v>0.13</v>
      </c>
      <c r="O11" s="20">
        <f>IFERROR(__xludf.DUMMYFUNCTION("""COMPUTED_VALUE"""),52.0)</f>
        <v>52</v>
      </c>
      <c r="P11" s="21">
        <f>IFERROR(__xludf.DUMMYFUNCTION("""COMPUTED_VALUE"""),0.36)</f>
        <v>0.36</v>
      </c>
      <c r="Q11" s="20">
        <f>IFERROR(__xludf.DUMMYFUNCTION("""COMPUTED_VALUE"""),46.0)</f>
        <v>46</v>
      </c>
      <c r="R11" s="21">
        <f>IFERROR(__xludf.DUMMYFUNCTION("""COMPUTED_VALUE"""),0.32)</f>
        <v>0.32</v>
      </c>
      <c r="S11" s="20">
        <f>IFERROR(__xludf.DUMMYFUNCTION("""COMPUTED_VALUE"""),16.0)</f>
        <v>16</v>
      </c>
      <c r="T11" s="21">
        <f>IFERROR(__xludf.DUMMYFUNCTION("""COMPUTED_VALUE"""),0.11)</f>
        <v>0.11</v>
      </c>
      <c r="U11" s="20">
        <f>IFERROR(__xludf.DUMMYFUNCTION("""COMPUTED_VALUE"""),4.0)</f>
        <v>4</v>
      </c>
      <c r="V11" s="21">
        <f>IFERROR(__xludf.DUMMYFUNCTION("""COMPUTED_VALUE"""),0.03)</f>
        <v>0.03</v>
      </c>
      <c r="W11" s="20">
        <f>IFERROR(__xludf.DUMMYFUNCTION("""COMPUTED_VALUE"""),149.0)</f>
        <v>149</v>
      </c>
      <c r="X11" s="20">
        <f>IFERROR(__xludf.DUMMYFUNCTION("""COMPUTED_VALUE"""),95.0)</f>
        <v>95</v>
      </c>
      <c r="Y11" s="21">
        <f>IFERROR(__xludf.DUMMYFUNCTION("""COMPUTED_VALUE"""),0.64)</f>
        <v>0.64</v>
      </c>
      <c r="Z11" s="20">
        <f>IFERROR(__xludf.DUMMYFUNCTION("""COMPUTED_VALUE"""),155.0)</f>
        <v>155</v>
      </c>
      <c r="AA11" s="20">
        <f>IFERROR(__xludf.DUMMYFUNCTION("""COMPUTED_VALUE"""),55.0)</f>
        <v>55</v>
      </c>
      <c r="AB11" s="21">
        <f>IFERROR(__xludf.DUMMYFUNCTION("""COMPUTED_VALUE"""),0.35)</f>
        <v>0.35</v>
      </c>
    </row>
    <row r="12">
      <c r="A12" s="20">
        <f>IFERROR(__xludf.DUMMYFUNCTION("""COMPUTED_VALUE"""),350000.0)</f>
        <v>350000</v>
      </c>
      <c r="B12" s="20" t="str">
        <f>IFERROR(__xludf.DUMMYFUNCTION("""COMPUTED_VALUE"""),"Boston")</f>
        <v>Boston</v>
      </c>
      <c r="C12" s="20">
        <f>IFERROR(__xludf.DUMMYFUNCTION("""COMPUTED_VALUE"""),350691.0)</f>
        <v>350691</v>
      </c>
      <c r="D12" s="20" t="str">
        <f>IFERROR(__xludf.DUMMYFUNCTION("""COMPUTED_VALUE"""),"Rafael Hernandez")</f>
        <v>Rafael Hernandez</v>
      </c>
      <c r="E12" s="24">
        <f>IFERROR(__xludf.DUMMYFUNCTION("""COMPUTED_VALUE"""),44260.0)</f>
        <v>44260</v>
      </c>
      <c r="F12" s="20" t="str">
        <f>IFERROR(__xludf.DUMMYFUNCTION("""COMPUTED_VALUE"""),"All")</f>
        <v>All</v>
      </c>
      <c r="G12" s="20">
        <f>IFERROR(__xludf.DUMMYFUNCTION("""COMPUTED_VALUE"""),92.0)</f>
        <v>92</v>
      </c>
      <c r="H12" s="20">
        <f>IFERROR(__xludf.DUMMYFUNCTION("""COMPUTED_VALUE"""),91.0)</f>
        <v>91</v>
      </c>
      <c r="I12" s="21">
        <f>IFERROR(__xludf.DUMMYFUNCTION("""COMPUTED_VALUE"""),0.99)</f>
        <v>0.99</v>
      </c>
      <c r="J12" s="20">
        <f>IFERROR(__xludf.DUMMYFUNCTION("""COMPUTED_VALUE"""),91.0)</f>
        <v>91</v>
      </c>
      <c r="K12" s="20">
        <f>IFERROR(__xludf.DUMMYFUNCTION("""COMPUTED_VALUE"""),8.0)</f>
        <v>8</v>
      </c>
      <c r="L12" s="21">
        <f>IFERROR(__xludf.DUMMYFUNCTION("""COMPUTED_VALUE"""),0.09)</f>
        <v>0.09</v>
      </c>
      <c r="M12" s="20">
        <f>IFERROR(__xludf.DUMMYFUNCTION("""COMPUTED_VALUE"""),7.0)</f>
        <v>7</v>
      </c>
      <c r="N12" s="21">
        <f>IFERROR(__xludf.DUMMYFUNCTION("""COMPUTED_VALUE"""),0.08)</f>
        <v>0.08</v>
      </c>
      <c r="O12" s="20">
        <f>IFERROR(__xludf.DUMMYFUNCTION("""COMPUTED_VALUE"""),41.0)</f>
        <v>41</v>
      </c>
      <c r="P12" s="21">
        <f>IFERROR(__xludf.DUMMYFUNCTION("""COMPUTED_VALUE"""),0.45)</f>
        <v>0.45</v>
      </c>
      <c r="Q12" s="20">
        <f>IFERROR(__xludf.DUMMYFUNCTION("""COMPUTED_VALUE"""),23.0)</f>
        <v>23</v>
      </c>
      <c r="R12" s="21">
        <f>IFERROR(__xludf.DUMMYFUNCTION("""COMPUTED_VALUE"""),0.25)</f>
        <v>0.25</v>
      </c>
      <c r="S12" s="20">
        <f>IFERROR(__xludf.DUMMYFUNCTION("""COMPUTED_VALUE"""),11.0)</f>
        <v>11</v>
      </c>
      <c r="T12" s="21">
        <f>IFERROR(__xludf.DUMMYFUNCTION("""COMPUTED_VALUE"""),0.12)</f>
        <v>0.12</v>
      </c>
      <c r="U12" s="20">
        <f>IFERROR(__xludf.DUMMYFUNCTION("""COMPUTED_VALUE"""),1.0)</f>
        <v>1</v>
      </c>
      <c r="V12" s="21">
        <f>IFERROR(__xludf.DUMMYFUNCTION("""COMPUTED_VALUE"""),0.01)</f>
        <v>0.01</v>
      </c>
      <c r="W12" s="20">
        <f>IFERROR(__xludf.DUMMYFUNCTION("""COMPUTED_VALUE"""),81.0)</f>
        <v>81</v>
      </c>
      <c r="X12" s="20">
        <f>IFERROR(__xludf.DUMMYFUNCTION("""COMPUTED_VALUE"""),38.0)</f>
        <v>38</v>
      </c>
      <c r="Y12" s="21">
        <f>IFERROR(__xludf.DUMMYFUNCTION("""COMPUTED_VALUE"""),0.47)</f>
        <v>0.47</v>
      </c>
      <c r="Z12" s="20">
        <f>IFERROR(__xludf.DUMMYFUNCTION("""COMPUTED_VALUE"""),92.0)</f>
        <v>92</v>
      </c>
      <c r="AA12" s="20">
        <f>IFERROR(__xludf.DUMMYFUNCTION("""COMPUTED_VALUE"""),26.0)</f>
        <v>26</v>
      </c>
      <c r="AB12" s="21">
        <f>IFERROR(__xludf.DUMMYFUNCTION("""COMPUTED_VALUE"""),0.28)</f>
        <v>0.28</v>
      </c>
    </row>
    <row r="13">
      <c r="A13" s="20">
        <f>IFERROR(__xludf.DUMMYFUNCTION("""COMPUTED_VALUE"""),440000.0)</f>
        <v>440000</v>
      </c>
      <c r="B13" s="20" t="str">
        <f>IFERROR(__xludf.DUMMYFUNCTION("""COMPUTED_VALUE"""),"Brockton")</f>
        <v>Brockton</v>
      </c>
      <c r="C13" s="20">
        <f>IFERROR(__xludf.DUMMYFUNCTION("""COMPUTED_VALUE"""),440003.0)</f>
        <v>440003</v>
      </c>
      <c r="D13" s="20" t="str">
        <f>IFERROR(__xludf.DUMMYFUNCTION("""COMPUTED_VALUE"""),"Manthala George Jr. School")</f>
        <v>Manthala George Jr. School</v>
      </c>
      <c r="E13" s="24">
        <f>IFERROR(__xludf.DUMMYFUNCTION("""COMPUTED_VALUE"""),44260.0)</f>
        <v>44260</v>
      </c>
      <c r="F13" s="20" t="str">
        <f>IFERROR(__xludf.DUMMYFUNCTION("""COMPUTED_VALUE"""),"All")</f>
        <v>All</v>
      </c>
      <c r="G13" s="20">
        <f>IFERROR(__xludf.DUMMYFUNCTION("""COMPUTED_VALUE"""),180.0)</f>
        <v>180</v>
      </c>
      <c r="H13" s="20">
        <f>IFERROR(__xludf.DUMMYFUNCTION("""COMPUTED_VALUE"""),179.0)</f>
        <v>179</v>
      </c>
      <c r="I13" s="21">
        <f>IFERROR(__xludf.DUMMYFUNCTION("""COMPUTED_VALUE"""),0.99)</f>
        <v>0.99</v>
      </c>
      <c r="J13" s="20">
        <f>IFERROR(__xludf.DUMMYFUNCTION("""COMPUTED_VALUE"""),179.0)</f>
        <v>179</v>
      </c>
      <c r="K13" s="20">
        <f>IFERROR(__xludf.DUMMYFUNCTION("""COMPUTED_VALUE"""),12.0)</f>
        <v>12</v>
      </c>
      <c r="L13" s="21">
        <f>IFERROR(__xludf.DUMMYFUNCTION("""COMPUTED_VALUE"""),0.07)</f>
        <v>0.07</v>
      </c>
      <c r="M13" s="20">
        <f>IFERROR(__xludf.DUMMYFUNCTION("""COMPUTED_VALUE"""),37.0)</f>
        <v>37</v>
      </c>
      <c r="N13" s="21">
        <f>IFERROR(__xludf.DUMMYFUNCTION("""COMPUTED_VALUE"""),0.21)</f>
        <v>0.21</v>
      </c>
      <c r="O13" s="20">
        <f>IFERROR(__xludf.DUMMYFUNCTION("""COMPUTED_VALUE"""),64.0)</f>
        <v>64</v>
      </c>
      <c r="P13" s="21">
        <f>IFERROR(__xludf.DUMMYFUNCTION("""COMPUTED_VALUE"""),0.36)</f>
        <v>0.36</v>
      </c>
      <c r="Q13" s="20">
        <f>IFERROR(__xludf.DUMMYFUNCTION("""COMPUTED_VALUE"""),59.0)</f>
        <v>59</v>
      </c>
      <c r="R13" s="21">
        <f>IFERROR(__xludf.DUMMYFUNCTION("""COMPUTED_VALUE"""),0.33)</f>
        <v>0.33</v>
      </c>
      <c r="S13" s="20">
        <f>IFERROR(__xludf.DUMMYFUNCTION("""COMPUTED_VALUE"""),5.0)</f>
        <v>5</v>
      </c>
      <c r="T13" s="21">
        <f>IFERROR(__xludf.DUMMYFUNCTION("""COMPUTED_VALUE"""),0.03)</f>
        <v>0.03</v>
      </c>
      <c r="U13" s="20">
        <f>IFERROR(__xludf.DUMMYFUNCTION("""COMPUTED_VALUE"""),2.0)</f>
        <v>2</v>
      </c>
      <c r="V13" s="21">
        <f>IFERROR(__xludf.DUMMYFUNCTION("""COMPUTED_VALUE"""),0.01)</f>
        <v>0.01</v>
      </c>
      <c r="W13" s="20">
        <f>IFERROR(__xludf.DUMMYFUNCTION("""COMPUTED_VALUE"""),156.0)</f>
        <v>156</v>
      </c>
      <c r="X13" s="20">
        <f>IFERROR(__xludf.DUMMYFUNCTION("""COMPUTED_VALUE"""),82.0)</f>
        <v>82</v>
      </c>
      <c r="Y13" s="21">
        <f>IFERROR(__xludf.DUMMYFUNCTION("""COMPUTED_VALUE"""),0.53)</f>
        <v>0.53</v>
      </c>
      <c r="Z13" s="20">
        <f>IFERROR(__xludf.DUMMYFUNCTION("""COMPUTED_VALUE"""),180.0)</f>
        <v>180</v>
      </c>
      <c r="AA13" s="20">
        <f>IFERROR(__xludf.DUMMYFUNCTION("""COMPUTED_VALUE"""),44.0)</f>
        <v>44</v>
      </c>
      <c r="AB13" s="21">
        <f>IFERROR(__xludf.DUMMYFUNCTION("""COMPUTED_VALUE"""),0.24)</f>
        <v>0.24</v>
      </c>
    </row>
    <row r="14">
      <c r="A14" s="20">
        <f>IFERROR(__xludf.DUMMYFUNCTION("""COMPUTED_VALUE"""),490000.0)</f>
        <v>490000</v>
      </c>
      <c r="B14" s="20" t="str">
        <f>IFERROR(__xludf.DUMMYFUNCTION("""COMPUTED_VALUE"""),"Cambridge")</f>
        <v>Cambridge</v>
      </c>
      <c r="C14" s="20">
        <f>IFERROR(__xludf.DUMMYFUNCTION("""COMPUTED_VALUE"""),490006.0)</f>
        <v>490006</v>
      </c>
      <c r="D14" s="20" t="str">
        <f>IFERROR(__xludf.DUMMYFUNCTION("""COMPUTED_VALUE"""),"Amigos School")</f>
        <v>Amigos School</v>
      </c>
      <c r="E14" s="24">
        <f>IFERROR(__xludf.DUMMYFUNCTION("""COMPUTED_VALUE"""),44260.0)</f>
        <v>44260</v>
      </c>
      <c r="F14" s="20" t="str">
        <f>IFERROR(__xludf.DUMMYFUNCTION("""COMPUTED_VALUE"""),"All")</f>
        <v>All</v>
      </c>
      <c r="G14" s="20">
        <f>IFERROR(__xludf.DUMMYFUNCTION("""COMPUTED_VALUE"""),12.0)</f>
        <v>12</v>
      </c>
      <c r="H14" s="20">
        <f>IFERROR(__xludf.DUMMYFUNCTION("""COMPUTED_VALUE"""),12.0)</f>
        <v>12</v>
      </c>
      <c r="I14" s="21">
        <f>IFERROR(__xludf.DUMMYFUNCTION("""COMPUTED_VALUE"""),1.0)</f>
        <v>1</v>
      </c>
      <c r="J14" s="20">
        <f>IFERROR(__xludf.DUMMYFUNCTION("""COMPUTED_VALUE"""),12.0)</f>
        <v>12</v>
      </c>
      <c r="K14" s="20">
        <f>IFERROR(__xludf.DUMMYFUNCTION("""COMPUTED_VALUE"""),0.0)</f>
        <v>0</v>
      </c>
      <c r="L14" s="21">
        <f>IFERROR(__xludf.DUMMYFUNCTION("""COMPUTED_VALUE"""),0.0)</f>
        <v>0</v>
      </c>
      <c r="M14" s="20">
        <f>IFERROR(__xludf.DUMMYFUNCTION("""COMPUTED_VALUE"""),1.0)</f>
        <v>1</v>
      </c>
      <c r="N14" s="21">
        <f>IFERROR(__xludf.DUMMYFUNCTION("""COMPUTED_VALUE"""),0.08)</f>
        <v>0.08</v>
      </c>
      <c r="O14" s="20">
        <f>IFERROR(__xludf.DUMMYFUNCTION("""COMPUTED_VALUE"""),4.0)</f>
        <v>4</v>
      </c>
      <c r="P14" s="21">
        <f>IFERROR(__xludf.DUMMYFUNCTION("""COMPUTED_VALUE"""),0.33)</f>
        <v>0.33</v>
      </c>
      <c r="Q14" s="20">
        <f>IFERROR(__xludf.DUMMYFUNCTION("""COMPUTED_VALUE"""),2.0)</f>
        <v>2</v>
      </c>
      <c r="R14" s="21">
        <f>IFERROR(__xludf.DUMMYFUNCTION("""COMPUTED_VALUE"""),0.17)</f>
        <v>0.17</v>
      </c>
      <c r="S14" s="20">
        <f>IFERROR(__xludf.DUMMYFUNCTION("""COMPUTED_VALUE"""),5.0)</f>
        <v>5</v>
      </c>
      <c r="T14" s="21">
        <f>IFERROR(__xludf.DUMMYFUNCTION("""COMPUTED_VALUE"""),0.42)</f>
        <v>0.42</v>
      </c>
      <c r="U14" s="20">
        <f>IFERROR(__xludf.DUMMYFUNCTION("""COMPUTED_VALUE"""),0.0)</f>
        <v>0</v>
      </c>
      <c r="V14" s="21">
        <f>IFERROR(__xludf.DUMMYFUNCTION("""COMPUTED_VALUE"""),0.0)</f>
        <v>0</v>
      </c>
      <c r="W14" s="20">
        <f>IFERROR(__xludf.DUMMYFUNCTION("""COMPUTED_VALUE"""),7.0)</f>
        <v>7</v>
      </c>
      <c r="X14" s="20"/>
      <c r="Y14" s="20"/>
      <c r="Z14" s="20">
        <f>IFERROR(__xludf.DUMMYFUNCTION("""COMPUTED_VALUE"""),12.0)</f>
        <v>12</v>
      </c>
      <c r="AA14" s="20">
        <f>IFERROR(__xludf.DUMMYFUNCTION("""COMPUTED_VALUE"""),6.0)</f>
        <v>6</v>
      </c>
      <c r="AB14" s="21">
        <f>IFERROR(__xludf.DUMMYFUNCTION("""COMPUTED_VALUE"""),0.5)</f>
        <v>0.5</v>
      </c>
    </row>
    <row r="15">
      <c r="A15" s="20">
        <f>IFERROR(__xludf.DUMMYFUNCTION("""COMPUTED_VALUE"""),570000.0)</f>
        <v>570000</v>
      </c>
      <c r="B15" s="20" t="str">
        <f>IFERROR(__xludf.DUMMYFUNCTION("""COMPUTED_VALUE"""),"Chelsea")</f>
        <v>Chelsea</v>
      </c>
      <c r="C15" s="20">
        <f>IFERROR(__xludf.DUMMYFUNCTION("""COMPUTED_VALUE"""),570035.0)</f>
        <v>570035</v>
      </c>
      <c r="D15" s="20" t="str">
        <f>IFERROR(__xludf.DUMMYFUNCTION("""COMPUTED_VALUE"""),"George F. Kelly Elementary")</f>
        <v>George F. Kelly Elementary</v>
      </c>
      <c r="E15" s="24">
        <f>IFERROR(__xludf.DUMMYFUNCTION("""COMPUTED_VALUE"""),44260.0)</f>
        <v>44260</v>
      </c>
      <c r="F15" s="20" t="str">
        <f>IFERROR(__xludf.DUMMYFUNCTION("""COMPUTED_VALUE"""),"All")</f>
        <v>All</v>
      </c>
      <c r="G15" s="20">
        <f>IFERROR(__xludf.DUMMYFUNCTION("""COMPUTED_VALUE"""),83.0)</f>
        <v>83</v>
      </c>
      <c r="H15" s="20">
        <f>IFERROR(__xludf.DUMMYFUNCTION("""COMPUTED_VALUE"""),82.0)</f>
        <v>82</v>
      </c>
      <c r="I15" s="21">
        <f>IFERROR(__xludf.DUMMYFUNCTION("""COMPUTED_VALUE"""),0.99)</f>
        <v>0.99</v>
      </c>
      <c r="J15" s="20">
        <f>IFERROR(__xludf.DUMMYFUNCTION("""COMPUTED_VALUE"""),82.0)</f>
        <v>82</v>
      </c>
      <c r="K15" s="20">
        <f>IFERROR(__xludf.DUMMYFUNCTION("""COMPUTED_VALUE"""),1.0)</f>
        <v>1</v>
      </c>
      <c r="L15" s="21">
        <f>IFERROR(__xludf.DUMMYFUNCTION("""COMPUTED_VALUE"""),0.01)</f>
        <v>0.01</v>
      </c>
      <c r="M15" s="20">
        <f>IFERROR(__xludf.DUMMYFUNCTION("""COMPUTED_VALUE"""),5.0)</f>
        <v>5</v>
      </c>
      <c r="N15" s="21">
        <f>IFERROR(__xludf.DUMMYFUNCTION("""COMPUTED_VALUE"""),0.06)</f>
        <v>0.06</v>
      </c>
      <c r="O15" s="20">
        <f>IFERROR(__xludf.DUMMYFUNCTION("""COMPUTED_VALUE"""),24.0)</f>
        <v>24</v>
      </c>
      <c r="P15" s="21">
        <f>IFERROR(__xludf.DUMMYFUNCTION("""COMPUTED_VALUE"""),0.29)</f>
        <v>0.29</v>
      </c>
      <c r="Q15" s="20">
        <f>IFERROR(__xludf.DUMMYFUNCTION("""COMPUTED_VALUE"""),41.0)</f>
        <v>41</v>
      </c>
      <c r="R15" s="21">
        <f>IFERROR(__xludf.DUMMYFUNCTION("""COMPUTED_VALUE"""),0.5)</f>
        <v>0.5</v>
      </c>
      <c r="S15" s="20">
        <f>IFERROR(__xludf.DUMMYFUNCTION("""COMPUTED_VALUE"""),9.0)</f>
        <v>9</v>
      </c>
      <c r="T15" s="21">
        <f>IFERROR(__xludf.DUMMYFUNCTION("""COMPUTED_VALUE"""),0.11)</f>
        <v>0.11</v>
      </c>
      <c r="U15" s="20">
        <f>IFERROR(__xludf.DUMMYFUNCTION("""COMPUTED_VALUE"""),2.0)</f>
        <v>2</v>
      </c>
      <c r="V15" s="21">
        <f>IFERROR(__xludf.DUMMYFUNCTION("""COMPUTED_VALUE"""),0.02)</f>
        <v>0.02</v>
      </c>
      <c r="W15" s="20">
        <f>IFERROR(__xludf.DUMMYFUNCTION("""COMPUTED_VALUE"""),79.0)</f>
        <v>79</v>
      </c>
      <c r="X15" s="20">
        <f>IFERROR(__xludf.DUMMYFUNCTION("""COMPUTED_VALUE"""),62.0)</f>
        <v>62</v>
      </c>
      <c r="Y15" s="21">
        <f>IFERROR(__xludf.DUMMYFUNCTION("""COMPUTED_VALUE"""),0.78)</f>
        <v>0.78</v>
      </c>
      <c r="Z15" s="20">
        <f>IFERROR(__xludf.DUMMYFUNCTION("""COMPUTED_VALUE"""),83.0)</f>
        <v>83</v>
      </c>
      <c r="AA15" s="20">
        <f>IFERROR(__xludf.DUMMYFUNCTION("""COMPUTED_VALUE"""),42.0)</f>
        <v>42</v>
      </c>
      <c r="AB15" s="21">
        <f>IFERROR(__xludf.DUMMYFUNCTION("""COMPUTED_VALUE"""),0.51)</f>
        <v>0.51</v>
      </c>
    </row>
    <row r="16">
      <c r="A16" s="20">
        <f>IFERROR(__xludf.DUMMYFUNCTION("""COMPUTED_VALUE"""),1000000.0)</f>
        <v>1000000</v>
      </c>
      <c r="B16" s="20" t="str">
        <f>IFERROR(__xludf.DUMMYFUNCTION("""COMPUTED_VALUE"""),"Framingham")</f>
        <v>Framingham</v>
      </c>
      <c r="C16" s="20">
        <f>IFERROR(__xludf.DUMMYFUNCTION("""COMPUTED_VALUE"""),1000006.0)</f>
        <v>1000006</v>
      </c>
      <c r="D16" s="20" t="str">
        <f>IFERROR(__xludf.DUMMYFUNCTION("""COMPUTED_VALUE"""),"Brophy")</f>
        <v>Brophy</v>
      </c>
      <c r="E16" s="24">
        <f>IFERROR(__xludf.DUMMYFUNCTION("""COMPUTED_VALUE"""),44260.0)</f>
        <v>44260</v>
      </c>
      <c r="F16" s="20" t="str">
        <f>IFERROR(__xludf.DUMMYFUNCTION("""COMPUTED_VALUE"""),"All")</f>
        <v>All</v>
      </c>
      <c r="G16" s="20">
        <f>IFERROR(__xludf.DUMMYFUNCTION("""COMPUTED_VALUE"""),103.0)</f>
        <v>103</v>
      </c>
      <c r="H16" s="20">
        <f>IFERROR(__xludf.DUMMYFUNCTION("""COMPUTED_VALUE"""),103.0)</f>
        <v>103</v>
      </c>
      <c r="I16" s="21">
        <f>IFERROR(__xludf.DUMMYFUNCTION("""COMPUTED_VALUE"""),1.0)</f>
        <v>1</v>
      </c>
      <c r="J16" s="20">
        <f>IFERROR(__xludf.DUMMYFUNCTION("""COMPUTED_VALUE"""),103.0)</f>
        <v>103</v>
      </c>
      <c r="K16" s="20">
        <f>IFERROR(__xludf.DUMMYFUNCTION("""COMPUTED_VALUE"""),9.0)</f>
        <v>9</v>
      </c>
      <c r="L16" s="21">
        <f>IFERROR(__xludf.DUMMYFUNCTION("""COMPUTED_VALUE"""),0.09)</f>
        <v>0.09</v>
      </c>
      <c r="M16" s="20">
        <f>IFERROR(__xludf.DUMMYFUNCTION("""COMPUTED_VALUE"""),17.0)</f>
        <v>17</v>
      </c>
      <c r="N16" s="21">
        <f>IFERROR(__xludf.DUMMYFUNCTION("""COMPUTED_VALUE"""),0.17)</f>
        <v>0.17</v>
      </c>
      <c r="O16" s="20">
        <f>IFERROR(__xludf.DUMMYFUNCTION("""COMPUTED_VALUE"""),30.0)</f>
        <v>30</v>
      </c>
      <c r="P16" s="21">
        <f>IFERROR(__xludf.DUMMYFUNCTION("""COMPUTED_VALUE"""),0.29)</f>
        <v>0.29</v>
      </c>
      <c r="Q16" s="20">
        <f>IFERROR(__xludf.DUMMYFUNCTION("""COMPUTED_VALUE"""),39.0)</f>
        <v>39</v>
      </c>
      <c r="R16" s="21">
        <f>IFERROR(__xludf.DUMMYFUNCTION("""COMPUTED_VALUE"""),0.38)</f>
        <v>0.38</v>
      </c>
      <c r="S16" s="20">
        <f>IFERROR(__xludf.DUMMYFUNCTION("""COMPUTED_VALUE"""),8.0)</f>
        <v>8</v>
      </c>
      <c r="T16" s="21">
        <f>IFERROR(__xludf.DUMMYFUNCTION("""COMPUTED_VALUE"""),0.08)</f>
        <v>0.08</v>
      </c>
      <c r="U16" s="20">
        <f>IFERROR(__xludf.DUMMYFUNCTION("""COMPUTED_VALUE"""),0.0)</f>
        <v>0</v>
      </c>
      <c r="V16" s="21">
        <f>IFERROR(__xludf.DUMMYFUNCTION("""COMPUTED_VALUE"""),0.0)</f>
        <v>0</v>
      </c>
      <c r="W16" s="20">
        <f>IFERROR(__xludf.DUMMYFUNCTION("""COMPUTED_VALUE"""),88.0)</f>
        <v>88</v>
      </c>
      <c r="X16" s="20">
        <f>IFERROR(__xludf.DUMMYFUNCTION("""COMPUTED_VALUE"""),49.0)</f>
        <v>49</v>
      </c>
      <c r="Y16" s="21">
        <f>IFERROR(__xludf.DUMMYFUNCTION("""COMPUTED_VALUE"""),0.56)</f>
        <v>0.56</v>
      </c>
      <c r="Z16" s="20">
        <f>IFERROR(__xludf.DUMMYFUNCTION("""COMPUTED_VALUE"""),103.0)</f>
        <v>103</v>
      </c>
      <c r="AA16" s="20">
        <f>IFERROR(__xludf.DUMMYFUNCTION("""COMPUTED_VALUE"""),36.0)</f>
        <v>36</v>
      </c>
      <c r="AB16" s="21">
        <f>IFERROR(__xludf.DUMMYFUNCTION("""COMPUTED_VALUE"""),0.35)</f>
        <v>0.35</v>
      </c>
    </row>
    <row r="17">
      <c r="A17" s="20">
        <f>IFERROR(__xludf.DUMMYFUNCTION("""COMPUTED_VALUE"""),1000000.0)</f>
        <v>1000000</v>
      </c>
      <c r="B17" s="20" t="str">
        <f>IFERROR(__xludf.DUMMYFUNCTION("""COMPUTED_VALUE"""),"Framingham")</f>
        <v>Framingham</v>
      </c>
      <c r="C17" s="20">
        <f>IFERROR(__xludf.DUMMYFUNCTION("""COMPUTED_VALUE"""),1000035.0)</f>
        <v>1000035</v>
      </c>
      <c r="D17" s="20" t="str">
        <f>IFERROR(__xludf.DUMMYFUNCTION("""COMPUTED_VALUE"""),"Barbieri Elementary")</f>
        <v>Barbieri Elementary</v>
      </c>
      <c r="E17" s="24">
        <f>IFERROR(__xludf.DUMMYFUNCTION("""COMPUTED_VALUE"""),44260.0)</f>
        <v>44260</v>
      </c>
      <c r="F17" s="20" t="str">
        <f>IFERROR(__xludf.DUMMYFUNCTION("""COMPUTED_VALUE"""),"All")</f>
        <v>All</v>
      </c>
      <c r="G17" s="20">
        <f>IFERROR(__xludf.DUMMYFUNCTION("""COMPUTED_VALUE"""),118.0)</f>
        <v>118</v>
      </c>
      <c r="H17" s="20">
        <f>IFERROR(__xludf.DUMMYFUNCTION("""COMPUTED_VALUE"""),118.0)</f>
        <v>118</v>
      </c>
      <c r="I17" s="21">
        <f>IFERROR(__xludf.DUMMYFUNCTION("""COMPUTED_VALUE"""),1.0)</f>
        <v>1</v>
      </c>
      <c r="J17" s="20">
        <f>IFERROR(__xludf.DUMMYFUNCTION("""COMPUTED_VALUE"""),115.0)</f>
        <v>115</v>
      </c>
      <c r="K17" s="20">
        <f>IFERROR(__xludf.DUMMYFUNCTION("""COMPUTED_VALUE"""),2.0)</f>
        <v>2</v>
      </c>
      <c r="L17" s="21">
        <f>IFERROR(__xludf.DUMMYFUNCTION("""COMPUTED_VALUE"""),0.02)</f>
        <v>0.02</v>
      </c>
      <c r="M17" s="20">
        <f>IFERROR(__xludf.DUMMYFUNCTION("""COMPUTED_VALUE"""),12.0)</f>
        <v>12</v>
      </c>
      <c r="N17" s="21">
        <f>IFERROR(__xludf.DUMMYFUNCTION("""COMPUTED_VALUE"""),0.1)</f>
        <v>0.1</v>
      </c>
      <c r="O17" s="20">
        <f>IFERROR(__xludf.DUMMYFUNCTION("""COMPUTED_VALUE"""),39.0)</f>
        <v>39</v>
      </c>
      <c r="P17" s="21">
        <f>IFERROR(__xludf.DUMMYFUNCTION("""COMPUTED_VALUE"""),0.34)</f>
        <v>0.34</v>
      </c>
      <c r="Q17" s="20">
        <f>IFERROR(__xludf.DUMMYFUNCTION("""COMPUTED_VALUE"""),49.0)</f>
        <v>49</v>
      </c>
      <c r="R17" s="21">
        <f>IFERROR(__xludf.DUMMYFUNCTION("""COMPUTED_VALUE"""),0.43)</f>
        <v>0.43</v>
      </c>
      <c r="S17" s="20">
        <f>IFERROR(__xludf.DUMMYFUNCTION("""COMPUTED_VALUE"""),12.0)</f>
        <v>12</v>
      </c>
      <c r="T17" s="21">
        <f>IFERROR(__xludf.DUMMYFUNCTION("""COMPUTED_VALUE"""),0.1)</f>
        <v>0.1</v>
      </c>
      <c r="U17" s="20">
        <f>IFERROR(__xludf.DUMMYFUNCTION("""COMPUTED_VALUE"""),1.0)</f>
        <v>1</v>
      </c>
      <c r="V17" s="21">
        <f>IFERROR(__xludf.DUMMYFUNCTION("""COMPUTED_VALUE"""),0.01)</f>
        <v>0.01</v>
      </c>
      <c r="W17" s="20">
        <f>IFERROR(__xludf.DUMMYFUNCTION("""COMPUTED_VALUE"""),117.0)</f>
        <v>117</v>
      </c>
      <c r="X17" s="20">
        <f>IFERROR(__xludf.DUMMYFUNCTION("""COMPUTED_VALUE"""),84.0)</f>
        <v>84</v>
      </c>
      <c r="Y17" s="21">
        <f>IFERROR(__xludf.DUMMYFUNCTION("""COMPUTED_VALUE"""),0.72)</f>
        <v>0.72</v>
      </c>
      <c r="Z17" s="20">
        <f>IFERROR(__xludf.DUMMYFUNCTION("""COMPUTED_VALUE"""),118.0)</f>
        <v>118</v>
      </c>
      <c r="AA17" s="20">
        <f>IFERROR(__xludf.DUMMYFUNCTION("""COMPUTED_VALUE"""),48.0)</f>
        <v>48</v>
      </c>
      <c r="AB17" s="21">
        <f>IFERROR(__xludf.DUMMYFUNCTION("""COMPUTED_VALUE"""),0.41)</f>
        <v>0.41</v>
      </c>
    </row>
    <row r="18">
      <c r="A18" s="20">
        <f>IFERROR(__xludf.DUMMYFUNCTION("""COMPUTED_VALUE"""),1000000.0)</f>
        <v>1000000</v>
      </c>
      <c r="B18" s="20" t="str">
        <f>IFERROR(__xludf.DUMMYFUNCTION("""COMPUTED_VALUE"""),"Framingham")</f>
        <v>Framingham</v>
      </c>
      <c r="C18" s="20">
        <f>IFERROR(__xludf.DUMMYFUNCTION("""COMPUTED_VALUE"""),1000039.0)</f>
        <v>1000039</v>
      </c>
      <c r="D18" s="20" t="str">
        <f>IFERROR(__xludf.DUMMYFUNCTION("""COMPUTED_VALUE"""),"Potter Road")</f>
        <v>Potter Road</v>
      </c>
      <c r="E18" s="24">
        <f>IFERROR(__xludf.DUMMYFUNCTION("""COMPUTED_VALUE"""),44260.0)</f>
        <v>44260</v>
      </c>
      <c r="F18" s="20" t="str">
        <f>IFERROR(__xludf.DUMMYFUNCTION("""COMPUTED_VALUE"""),"All")</f>
        <v>All</v>
      </c>
      <c r="G18" s="20">
        <f>IFERROR(__xludf.DUMMYFUNCTION("""COMPUTED_VALUE"""),50.0)</f>
        <v>50</v>
      </c>
      <c r="H18" s="20">
        <f>IFERROR(__xludf.DUMMYFUNCTION("""COMPUTED_VALUE"""),50.0)</f>
        <v>50</v>
      </c>
      <c r="I18" s="21">
        <f>IFERROR(__xludf.DUMMYFUNCTION("""COMPUTED_VALUE"""),1.0)</f>
        <v>1</v>
      </c>
      <c r="J18" s="20">
        <f>IFERROR(__xludf.DUMMYFUNCTION("""COMPUTED_VALUE"""),50.0)</f>
        <v>50</v>
      </c>
      <c r="K18" s="20">
        <f>IFERROR(__xludf.DUMMYFUNCTION("""COMPUTED_VALUE"""),1.0)</f>
        <v>1</v>
      </c>
      <c r="L18" s="21">
        <f>IFERROR(__xludf.DUMMYFUNCTION("""COMPUTED_VALUE"""),0.02)</f>
        <v>0.02</v>
      </c>
      <c r="M18" s="20">
        <f>IFERROR(__xludf.DUMMYFUNCTION("""COMPUTED_VALUE"""),3.0)</f>
        <v>3</v>
      </c>
      <c r="N18" s="21">
        <f>IFERROR(__xludf.DUMMYFUNCTION("""COMPUTED_VALUE"""),0.06)</f>
        <v>0.06</v>
      </c>
      <c r="O18" s="20">
        <f>IFERROR(__xludf.DUMMYFUNCTION("""COMPUTED_VALUE"""),24.0)</f>
        <v>24</v>
      </c>
      <c r="P18" s="21">
        <f>IFERROR(__xludf.DUMMYFUNCTION("""COMPUTED_VALUE"""),0.48)</f>
        <v>0.48</v>
      </c>
      <c r="Q18" s="20">
        <f>IFERROR(__xludf.DUMMYFUNCTION("""COMPUTED_VALUE"""),15.0)</f>
        <v>15</v>
      </c>
      <c r="R18" s="21">
        <f>IFERROR(__xludf.DUMMYFUNCTION("""COMPUTED_VALUE"""),0.3)</f>
        <v>0.3</v>
      </c>
      <c r="S18" s="20">
        <f>IFERROR(__xludf.DUMMYFUNCTION("""COMPUTED_VALUE"""),6.0)</f>
        <v>6</v>
      </c>
      <c r="T18" s="21">
        <f>IFERROR(__xludf.DUMMYFUNCTION("""COMPUTED_VALUE"""),0.12)</f>
        <v>0.12</v>
      </c>
      <c r="U18" s="20">
        <f>IFERROR(__xludf.DUMMYFUNCTION("""COMPUTED_VALUE"""),1.0)</f>
        <v>1</v>
      </c>
      <c r="V18" s="21">
        <f>IFERROR(__xludf.DUMMYFUNCTION("""COMPUTED_VALUE"""),0.02)</f>
        <v>0.02</v>
      </c>
      <c r="W18" s="20">
        <f>IFERROR(__xludf.DUMMYFUNCTION("""COMPUTED_VALUE"""),45.0)</f>
        <v>45</v>
      </c>
      <c r="X18" s="20">
        <f>IFERROR(__xludf.DUMMYFUNCTION("""COMPUTED_VALUE"""),28.0)</f>
        <v>28</v>
      </c>
      <c r="Y18" s="21">
        <f>IFERROR(__xludf.DUMMYFUNCTION("""COMPUTED_VALUE"""),0.62)</f>
        <v>0.62</v>
      </c>
      <c r="Z18" s="20">
        <f>IFERROR(__xludf.DUMMYFUNCTION("""COMPUTED_VALUE"""),50.0)</f>
        <v>50</v>
      </c>
      <c r="AA18" s="20">
        <f>IFERROR(__xludf.DUMMYFUNCTION("""COMPUTED_VALUE"""),16.0)</f>
        <v>16</v>
      </c>
      <c r="AB18" s="21">
        <f>IFERROR(__xludf.DUMMYFUNCTION("""COMPUTED_VALUE"""),0.32)</f>
        <v>0.32</v>
      </c>
    </row>
    <row r="19">
      <c r="A19" s="20">
        <f>IFERROR(__xludf.DUMMYFUNCTION("""COMPUTED_VALUE"""),1000000.0)</f>
        <v>1000000</v>
      </c>
      <c r="B19" s="20" t="str">
        <f>IFERROR(__xludf.DUMMYFUNCTION("""COMPUTED_VALUE"""),"Framingham")</f>
        <v>Framingham</v>
      </c>
      <c r="C19" s="20">
        <f>IFERROR(__xludf.DUMMYFUNCTION("""COMPUTED_VALUE"""),1000055.0)</f>
        <v>1000055</v>
      </c>
      <c r="D19" s="20" t="str">
        <f>IFERROR(__xludf.DUMMYFUNCTION("""COMPUTED_VALUE"""),"Woodrow Wilson")</f>
        <v>Woodrow Wilson</v>
      </c>
      <c r="E19" s="24">
        <f>IFERROR(__xludf.DUMMYFUNCTION("""COMPUTED_VALUE"""),44260.0)</f>
        <v>44260</v>
      </c>
      <c r="F19" s="20" t="str">
        <f>IFERROR(__xludf.DUMMYFUNCTION("""COMPUTED_VALUE"""),"All")</f>
        <v>All</v>
      </c>
      <c r="G19" s="20">
        <f>IFERROR(__xludf.DUMMYFUNCTION("""COMPUTED_VALUE"""),171.0)</f>
        <v>171</v>
      </c>
      <c r="H19" s="20">
        <f>IFERROR(__xludf.DUMMYFUNCTION("""COMPUTED_VALUE"""),171.0)</f>
        <v>171</v>
      </c>
      <c r="I19" s="21">
        <f>IFERROR(__xludf.DUMMYFUNCTION("""COMPUTED_VALUE"""),1.0)</f>
        <v>1</v>
      </c>
      <c r="J19" s="20">
        <f>IFERROR(__xludf.DUMMYFUNCTION("""COMPUTED_VALUE"""),171.0)</f>
        <v>171</v>
      </c>
      <c r="K19" s="20">
        <f>IFERROR(__xludf.DUMMYFUNCTION("""COMPUTED_VALUE"""),45.0)</f>
        <v>45</v>
      </c>
      <c r="L19" s="21">
        <f>IFERROR(__xludf.DUMMYFUNCTION("""COMPUTED_VALUE"""),0.26)</f>
        <v>0.26</v>
      </c>
      <c r="M19" s="20">
        <f>IFERROR(__xludf.DUMMYFUNCTION("""COMPUTED_VALUE"""),26.0)</f>
        <v>26</v>
      </c>
      <c r="N19" s="21">
        <f>IFERROR(__xludf.DUMMYFUNCTION("""COMPUTED_VALUE"""),0.15)</f>
        <v>0.15</v>
      </c>
      <c r="O19" s="20">
        <f>IFERROR(__xludf.DUMMYFUNCTION("""COMPUTED_VALUE"""),55.0)</f>
        <v>55</v>
      </c>
      <c r="P19" s="21">
        <f>IFERROR(__xludf.DUMMYFUNCTION("""COMPUTED_VALUE"""),0.32)</f>
        <v>0.32</v>
      </c>
      <c r="Q19" s="20">
        <f>IFERROR(__xludf.DUMMYFUNCTION("""COMPUTED_VALUE"""),44.0)</f>
        <v>44</v>
      </c>
      <c r="R19" s="21">
        <f>IFERROR(__xludf.DUMMYFUNCTION("""COMPUTED_VALUE"""),0.26)</f>
        <v>0.26</v>
      </c>
      <c r="S19" s="20">
        <f>IFERROR(__xludf.DUMMYFUNCTION("""COMPUTED_VALUE"""),1.0)</f>
        <v>1</v>
      </c>
      <c r="T19" s="21">
        <f>IFERROR(__xludf.DUMMYFUNCTION("""COMPUTED_VALUE"""),0.01)</f>
        <v>0.01</v>
      </c>
      <c r="U19" s="20">
        <f>IFERROR(__xludf.DUMMYFUNCTION("""COMPUTED_VALUE"""),0.0)</f>
        <v>0</v>
      </c>
      <c r="V19" s="21">
        <f>IFERROR(__xludf.DUMMYFUNCTION("""COMPUTED_VALUE"""),0.0)</f>
        <v>0</v>
      </c>
      <c r="W19" s="20">
        <f>IFERROR(__xludf.DUMMYFUNCTION("""COMPUTED_VALUE"""),113.0)</f>
        <v>113</v>
      </c>
      <c r="X19" s="20">
        <f>IFERROR(__xludf.DUMMYFUNCTION("""COMPUTED_VALUE"""),60.0)</f>
        <v>60</v>
      </c>
      <c r="Y19" s="21">
        <f>IFERROR(__xludf.DUMMYFUNCTION("""COMPUTED_VALUE"""),0.53)</f>
        <v>0.53</v>
      </c>
      <c r="Z19" s="20">
        <f>IFERROR(__xludf.DUMMYFUNCTION("""COMPUTED_VALUE"""),171.0)</f>
        <v>171</v>
      </c>
      <c r="AA19" s="20">
        <f>IFERROR(__xludf.DUMMYFUNCTION("""COMPUTED_VALUE"""),29.0)</f>
        <v>29</v>
      </c>
      <c r="AB19" s="21">
        <f>IFERROR(__xludf.DUMMYFUNCTION("""COMPUTED_VALUE"""),0.17)</f>
        <v>0.17</v>
      </c>
    </row>
    <row r="20">
      <c r="A20" s="20">
        <f>IFERROR(__xludf.DUMMYFUNCTION("""COMPUTED_VALUE"""),1360000.0)</f>
        <v>1360000</v>
      </c>
      <c r="B20" s="20" t="str">
        <f>IFERROR(__xludf.DUMMYFUNCTION("""COMPUTED_VALUE"""),"Holliston")</f>
        <v>Holliston</v>
      </c>
      <c r="C20" s="20">
        <f>IFERROR(__xludf.DUMMYFUNCTION("""COMPUTED_VALUE"""),1360007.0)</f>
        <v>1360007</v>
      </c>
      <c r="D20" s="20" t="str">
        <f>IFERROR(__xludf.DUMMYFUNCTION("""COMPUTED_VALUE"""),"Miller School")</f>
        <v>Miller School</v>
      </c>
      <c r="E20" s="24">
        <f>IFERROR(__xludf.DUMMYFUNCTION("""COMPUTED_VALUE"""),44260.0)</f>
        <v>44260</v>
      </c>
      <c r="F20" s="20" t="str">
        <f>IFERROR(__xludf.DUMMYFUNCTION("""COMPUTED_VALUE"""),"All")</f>
        <v>All</v>
      </c>
      <c r="G20" s="20">
        <f>IFERROR(__xludf.DUMMYFUNCTION("""COMPUTED_VALUE"""),16.0)</f>
        <v>16</v>
      </c>
      <c r="H20" s="20">
        <f>IFERROR(__xludf.DUMMYFUNCTION("""COMPUTED_VALUE"""),16.0)</f>
        <v>16</v>
      </c>
      <c r="I20" s="21">
        <f>IFERROR(__xludf.DUMMYFUNCTION("""COMPUTED_VALUE"""),1.0)</f>
        <v>1</v>
      </c>
      <c r="J20" s="20">
        <f>IFERROR(__xludf.DUMMYFUNCTION("""COMPUTED_VALUE"""),16.0)</f>
        <v>16</v>
      </c>
      <c r="K20" s="20">
        <f>IFERROR(__xludf.DUMMYFUNCTION("""COMPUTED_VALUE"""),0.0)</f>
        <v>0</v>
      </c>
      <c r="L20" s="21">
        <f>IFERROR(__xludf.DUMMYFUNCTION("""COMPUTED_VALUE"""),0.0)</f>
        <v>0</v>
      </c>
      <c r="M20" s="20">
        <f>IFERROR(__xludf.DUMMYFUNCTION("""COMPUTED_VALUE"""),2.0)</f>
        <v>2</v>
      </c>
      <c r="N20" s="21">
        <f>IFERROR(__xludf.DUMMYFUNCTION("""COMPUTED_VALUE"""),0.13)</f>
        <v>0.13</v>
      </c>
      <c r="O20" s="20">
        <f>IFERROR(__xludf.DUMMYFUNCTION("""COMPUTED_VALUE"""),4.0)</f>
        <v>4</v>
      </c>
      <c r="P20" s="21">
        <f>IFERROR(__xludf.DUMMYFUNCTION("""COMPUTED_VALUE"""),0.25)</f>
        <v>0.25</v>
      </c>
      <c r="Q20" s="20">
        <f>IFERROR(__xludf.DUMMYFUNCTION("""COMPUTED_VALUE"""),6.0)</f>
        <v>6</v>
      </c>
      <c r="R20" s="21">
        <f>IFERROR(__xludf.DUMMYFUNCTION("""COMPUTED_VALUE"""),0.38)</f>
        <v>0.38</v>
      </c>
      <c r="S20" s="20">
        <f>IFERROR(__xludf.DUMMYFUNCTION("""COMPUTED_VALUE"""),4.0)</f>
        <v>4</v>
      </c>
      <c r="T20" s="21">
        <f>IFERROR(__xludf.DUMMYFUNCTION("""COMPUTED_VALUE"""),0.25)</f>
        <v>0.25</v>
      </c>
      <c r="U20" s="20">
        <f>IFERROR(__xludf.DUMMYFUNCTION("""COMPUTED_VALUE"""),0.0)</f>
        <v>0</v>
      </c>
      <c r="V20" s="21">
        <f>IFERROR(__xludf.DUMMYFUNCTION("""COMPUTED_VALUE"""),0.0)</f>
        <v>0</v>
      </c>
      <c r="W20" s="20">
        <f>IFERROR(__xludf.DUMMYFUNCTION("""COMPUTED_VALUE"""),14.0)</f>
        <v>14</v>
      </c>
      <c r="X20" s="20">
        <f>IFERROR(__xludf.DUMMYFUNCTION("""COMPUTED_VALUE"""),9.0)</f>
        <v>9</v>
      </c>
      <c r="Y20" s="21">
        <f>IFERROR(__xludf.DUMMYFUNCTION("""COMPUTED_VALUE"""),0.64)</f>
        <v>0.64</v>
      </c>
      <c r="Z20" s="20">
        <f>IFERROR(__xludf.DUMMYFUNCTION("""COMPUTED_VALUE"""),16.0)</f>
        <v>16</v>
      </c>
      <c r="AA20" s="20">
        <f>IFERROR(__xludf.DUMMYFUNCTION("""COMPUTED_VALUE"""),7.0)</f>
        <v>7</v>
      </c>
      <c r="AB20" s="21">
        <f>IFERROR(__xludf.DUMMYFUNCTION("""COMPUTED_VALUE"""),0.44)</f>
        <v>0.44</v>
      </c>
    </row>
    <row r="21">
      <c r="A21" s="20">
        <f>IFERROR(__xludf.DUMMYFUNCTION("""COMPUTED_VALUE"""),1370000.0)</f>
        <v>1370000</v>
      </c>
      <c r="B21" s="20" t="str">
        <f>IFERROR(__xludf.DUMMYFUNCTION("""COMPUTED_VALUE"""),"Holyoke")</f>
        <v>Holyoke</v>
      </c>
      <c r="C21" s="20">
        <f>IFERROR(__xludf.DUMMYFUNCTION("""COMPUTED_VALUE"""),1370003.0)</f>
        <v>1370003</v>
      </c>
      <c r="D21" s="20" t="str">
        <f>IFERROR(__xludf.DUMMYFUNCTION("""COMPUTED_VALUE"""),"Joseph Metcalf School")</f>
        <v>Joseph Metcalf School</v>
      </c>
      <c r="E21" s="24">
        <f>IFERROR(__xludf.DUMMYFUNCTION("""COMPUTED_VALUE"""),44260.0)</f>
        <v>44260</v>
      </c>
      <c r="F21" s="20" t="str">
        <f>IFERROR(__xludf.DUMMYFUNCTION("""COMPUTED_VALUE"""),"All")</f>
        <v>All</v>
      </c>
      <c r="G21" s="20">
        <f>IFERROR(__xludf.DUMMYFUNCTION("""COMPUTED_VALUE"""),11.0)</f>
        <v>11</v>
      </c>
      <c r="H21" s="20">
        <f>IFERROR(__xludf.DUMMYFUNCTION("""COMPUTED_VALUE"""),10.0)</f>
        <v>10</v>
      </c>
      <c r="I21" s="21">
        <f>IFERROR(__xludf.DUMMYFUNCTION("""COMPUTED_VALUE"""),0.91)</f>
        <v>0.91</v>
      </c>
      <c r="J21" s="20">
        <f>IFERROR(__xludf.DUMMYFUNCTION("""COMPUTED_VALUE"""),10.0)</f>
        <v>10</v>
      </c>
      <c r="K21" s="20">
        <f>IFERROR(__xludf.DUMMYFUNCTION("""COMPUTED_VALUE"""),1.0)</f>
        <v>1</v>
      </c>
      <c r="L21" s="21">
        <f>IFERROR(__xludf.DUMMYFUNCTION("""COMPUTED_VALUE"""),0.1)</f>
        <v>0.1</v>
      </c>
      <c r="M21" s="20">
        <f>IFERROR(__xludf.DUMMYFUNCTION("""COMPUTED_VALUE"""),0.0)</f>
        <v>0</v>
      </c>
      <c r="N21" s="21">
        <f>IFERROR(__xludf.DUMMYFUNCTION("""COMPUTED_VALUE"""),0.0)</f>
        <v>0</v>
      </c>
      <c r="O21" s="20">
        <f>IFERROR(__xludf.DUMMYFUNCTION("""COMPUTED_VALUE"""),3.0)</f>
        <v>3</v>
      </c>
      <c r="P21" s="21">
        <f>IFERROR(__xludf.DUMMYFUNCTION("""COMPUTED_VALUE"""),0.3)</f>
        <v>0.3</v>
      </c>
      <c r="Q21" s="20">
        <f>IFERROR(__xludf.DUMMYFUNCTION("""COMPUTED_VALUE"""),5.0)</f>
        <v>5</v>
      </c>
      <c r="R21" s="21">
        <f>IFERROR(__xludf.DUMMYFUNCTION("""COMPUTED_VALUE"""),0.5)</f>
        <v>0.5</v>
      </c>
      <c r="S21" s="20">
        <f>IFERROR(__xludf.DUMMYFUNCTION("""COMPUTED_VALUE"""),1.0)</f>
        <v>1</v>
      </c>
      <c r="T21" s="21">
        <f>IFERROR(__xludf.DUMMYFUNCTION("""COMPUTED_VALUE"""),0.1)</f>
        <v>0.1</v>
      </c>
      <c r="U21" s="20">
        <f>IFERROR(__xludf.DUMMYFUNCTION("""COMPUTED_VALUE"""),0.0)</f>
        <v>0</v>
      </c>
      <c r="V21" s="21">
        <f>IFERROR(__xludf.DUMMYFUNCTION("""COMPUTED_VALUE"""),0.0)</f>
        <v>0</v>
      </c>
      <c r="W21" s="20">
        <f>IFERROR(__xludf.DUMMYFUNCTION("""COMPUTED_VALUE"""),10.0)</f>
        <v>10</v>
      </c>
      <c r="X21" s="20">
        <f>IFERROR(__xludf.DUMMYFUNCTION("""COMPUTED_VALUE"""),8.0)</f>
        <v>8</v>
      </c>
      <c r="Y21" s="21">
        <f>IFERROR(__xludf.DUMMYFUNCTION("""COMPUTED_VALUE"""),0.8)</f>
        <v>0.8</v>
      </c>
      <c r="Z21" s="20">
        <f>IFERROR(__xludf.DUMMYFUNCTION("""COMPUTED_VALUE"""),11.0)</f>
        <v>11</v>
      </c>
      <c r="AA21" s="20">
        <f>IFERROR(__xludf.DUMMYFUNCTION("""COMPUTED_VALUE"""),3.0)</f>
        <v>3</v>
      </c>
      <c r="AB21" s="21">
        <f>IFERROR(__xludf.DUMMYFUNCTION("""COMPUTED_VALUE"""),0.27)</f>
        <v>0.27</v>
      </c>
    </row>
    <row r="22">
      <c r="A22" s="20">
        <f>IFERROR(__xludf.DUMMYFUNCTION("""COMPUTED_VALUE"""),1370000.0)</f>
        <v>1370000</v>
      </c>
      <c r="B22" s="20" t="str">
        <f>IFERROR(__xludf.DUMMYFUNCTION("""COMPUTED_VALUE"""),"Holyoke")</f>
        <v>Holyoke</v>
      </c>
      <c r="C22" s="20">
        <f>IFERROR(__xludf.DUMMYFUNCTION("""COMPUTED_VALUE"""),1370045.0)</f>
        <v>1370045</v>
      </c>
      <c r="D22" s="20" t="str">
        <f>IFERROR(__xludf.DUMMYFUNCTION("""COMPUTED_VALUE"""),"E N White Elementary")</f>
        <v>E N White Elementary</v>
      </c>
      <c r="E22" s="24">
        <f>IFERROR(__xludf.DUMMYFUNCTION("""COMPUTED_VALUE"""),44260.0)</f>
        <v>44260</v>
      </c>
      <c r="F22" s="20" t="str">
        <f>IFERROR(__xludf.DUMMYFUNCTION("""COMPUTED_VALUE"""),"All")</f>
        <v>All</v>
      </c>
      <c r="G22" s="20">
        <f>IFERROR(__xludf.DUMMYFUNCTION("""COMPUTED_VALUE"""),33.0)</f>
        <v>33</v>
      </c>
      <c r="H22" s="20">
        <f>IFERROR(__xludf.DUMMYFUNCTION("""COMPUTED_VALUE"""),33.0)</f>
        <v>33</v>
      </c>
      <c r="I22" s="21">
        <f>IFERROR(__xludf.DUMMYFUNCTION("""COMPUTED_VALUE"""),1.0)</f>
        <v>1</v>
      </c>
      <c r="J22" s="20">
        <f>IFERROR(__xludf.DUMMYFUNCTION("""COMPUTED_VALUE"""),33.0)</f>
        <v>33</v>
      </c>
      <c r="K22" s="20">
        <f>IFERROR(__xludf.DUMMYFUNCTION("""COMPUTED_VALUE"""),1.0)</f>
        <v>1</v>
      </c>
      <c r="L22" s="21">
        <f>IFERROR(__xludf.DUMMYFUNCTION("""COMPUTED_VALUE"""),0.03)</f>
        <v>0.03</v>
      </c>
      <c r="M22" s="20">
        <f>IFERROR(__xludf.DUMMYFUNCTION("""COMPUTED_VALUE"""),5.0)</f>
        <v>5</v>
      </c>
      <c r="N22" s="21">
        <f>IFERROR(__xludf.DUMMYFUNCTION("""COMPUTED_VALUE"""),0.15)</f>
        <v>0.15</v>
      </c>
      <c r="O22" s="20">
        <f>IFERROR(__xludf.DUMMYFUNCTION("""COMPUTED_VALUE"""),16.0)</f>
        <v>16</v>
      </c>
      <c r="P22" s="21">
        <f>IFERROR(__xludf.DUMMYFUNCTION("""COMPUTED_VALUE"""),0.48)</f>
        <v>0.48</v>
      </c>
      <c r="Q22" s="20">
        <f>IFERROR(__xludf.DUMMYFUNCTION("""COMPUTED_VALUE"""),10.0)</f>
        <v>10</v>
      </c>
      <c r="R22" s="21">
        <f>IFERROR(__xludf.DUMMYFUNCTION("""COMPUTED_VALUE"""),0.3)</f>
        <v>0.3</v>
      </c>
      <c r="S22" s="20">
        <f>IFERROR(__xludf.DUMMYFUNCTION("""COMPUTED_VALUE"""),1.0)</f>
        <v>1</v>
      </c>
      <c r="T22" s="21">
        <f>IFERROR(__xludf.DUMMYFUNCTION("""COMPUTED_VALUE"""),0.03)</f>
        <v>0.03</v>
      </c>
      <c r="U22" s="20">
        <f>IFERROR(__xludf.DUMMYFUNCTION("""COMPUTED_VALUE"""),0.0)</f>
        <v>0</v>
      </c>
      <c r="V22" s="21">
        <f>IFERROR(__xludf.DUMMYFUNCTION("""COMPUTED_VALUE"""),0.0)</f>
        <v>0</v>
      </c>
      <c r="W22" s="20">
        <f>IFERROR(__xludf.DUMMYFUNCTION("""COMPUTED_VALUE"""),33.0)</f>
        <v>33</v>
      </c>
      <c r="X22" s="20">
        <f>IFERROR(__xludf.DUMMYFUNCTION("""COMPUTED_VALUE"""),16.0)</f>
        <v>16</v>
      </c>
      <c r="Y22" s="21">
        <f>IFERROR(__xludf.DUMMYFUNCTION("""COMPUTED_VALUE"""),0.48)</f>
        <v>0.48</v>
      </c>
      <c r="Z22" s="20">
        <f>IFERROR(__xludf.DUMMYFUNCTION("""COMPUTED_VALUE"""),33.0)</f>
        <v>33</v>
      </c>
      <c r="AA22" s="20">
        <f>IFERROR(__xludf.DUMMYFUNCTION("""COMPUTED_VALUE"""),6.0)</f>
        <v>6</v>
      </c>
      <c r="AB22" s="21">
        <f>IFERROR(__xludf.DUMMYFUNCTION("""COMPUTED_VALUE"""),0.18)</f>
        <v>0.18</v>
      </c>
    </row>
    <row r="23">
      <c r="A23" s="20">
        <f>IFERROR(__xludf.DUMMYFUNCTION("""COMPUTED_VALUE"""),2010000.0)</f>
        <v>2010000</v>
      </c>
      <c r="B23" s="20" t="str">
        <f>IFERROR(__xludf.DUMMYFUNCTION("""COMPUTED_VALUE"""),"New Bedford")</f>
        <v>New Bedford</v>
      </c>
      <c r="C23" s="20">
        <f>IFERROR(__xludf.DUMMYFUNCTION("""COMPUTED_VALUE"""),2010063.0)</f>
        <v>2010063</v>
      </c>
      <c r="D23" s="20" t="str">
        <f>IFERROR(__xludf.DUMMYFUNCTION("""COMPUTED_VALUE"""),"Alfred J Gomes")</f>
        <v>Alfred J Gomes</v>
      </c>
      <c r="E23" s="24">
        <f>IFERROR(__xludf.DUMMYFUNCTION("""COMPUTED_VALUE"""),44260.0)</f>
        <v>44260</v>
      </c>
      <c r="F23" s="20" t="str">
        <f>IFERROR(__xludf.DUMMYFUNCTION("""COMPUTED_VALUE"""),"All")</f>
        <v>All</v>
      </c>
      <c r="G23" s="20">
        <f>IFERROR(__xludf.DUMMYFUNCTION("""COMPUTED_VALUE"""),168.0)</f>
        <v>168</v>
      </c>
      <c r="H23" s="20">
        <f>IFERROR(__xludf.DUMMYFUNCTION("""COMPUTED_VALUE"""),167.0)</f>
        <v>167</v>
      </c>
      <c r="I23" s="21">
        <f>IFERROR(__xludf.DUMMYFUNCTION("""COMPUTED_VALUE"""),0.99)</f>
        <v>0.99</v>
      </c>
      <c r="J23" s="20">
        <f>IFERROR(__xludf.DUMMYFUNCTION("""COMPUTED_VALUE"""),166.0)</f>
        <v>166</v>
      </c>
      <c r="K23" s="20">
        <f>IFERROR(__xludf.DUMMYFUNCTION("""COMPUTED_VALUE"""),13.0)</f>
        <v>13</v>
      </c>
      <c r="L23" s="21">
        <f>IFERROR(__xludf.DUMMYFUNCTION("""COMPUTED_VALUE"""),0.08)</f>
        <v>0.08</v>
      </c>
      <c r="M23" s="20">
        <f>IFERROR(__xludf.DUMMYFUNCTION("""COMPUTED_VALUE"""),20.0)</f>
        <v>20</v>
      </c>
      <c r="N23" s="21">
        <f>IFERROR(__xludf.DUMMYFUNCTION("""COMPUTED_VALUE"""),0.12)</f>
        <v>0.12</v>
      </c>
      <c r="O23" s="20">
        <f>IFERROR(__xludf.DUMMYFUNCTION("""COMPUTED_VALUE"""),42.0)</f>
        <v>42</v>
      </c>
      <c r="P23" s="21">
        <f>IFERROR(__xludf.DUMMYFUNCTION("""COMPUTED_VALUE"""),0.25)</f>
        <v>0.25</v>
      </c>
      <c r="Q23" s="20">
        <f>IFERROR(__xludf.DUMMYFUNCTION("""COMPUTED_VALUE"""),66.0)</f>
        <v>66</v>
      </c>
      <c r="R23" s="21">
        <f>IFERROR(__xludf.DUMMYFUNCTION("""COMPUTED_VALUE"""),0.4)</f>
        <v>0.4</v>
      </c>
      <c r="S23" s="20">
        <f>IFERROR(__xludf.DUMMYFUNCTION("""COMPUTED_VALUE"""),21.0)</f>
        <v>21</v>
      </c>
      <c r="T23" s="21">
        <f>IFERROR(__xludf.DUMMYFUNCTION("""COMPUTED_VALUE"""),0.13)</f>
        <v>0.13</v>
      </c>
      <c r="U23" s="20">
        <f>IFERROR(__xludf.DUMMYFUNCTION("""COMPUTED_VALUE"""),4.0)</f>
        <v>4</v>
      </c>
      <c r="V23" s="21">
        <f>IFERROR(__xludf.DUMMYFUNCTION("""COMPUTED_VALUE"""),0.02)</f>
        <v>0.02</v>
      </c>
      <c r="W23" s="20">
        <f>IFERROR(__xludf.DUMMYFUNCTION("""COMPUTED_VALUE"""),149.0)</f>
        <v>149</v>
      </c>
      <c r="X23" s="20">
        <f>IFERROR(__xludf.DUMMYFUNCTION("""COMPUTED_VALUE"""),99.0)</f>
        <v>99</v>
      </c>
      <c r="Y23" s="21">
        <f>IFERROR(__xludf.DUMMYFUNCTION("""COMPUTED_VALUE"""),0.66)</f>
        <v>0.66</v>
      </c>
      <c r="Z23" s="20">
        <f>IFERROR(__xludf.DUMMYFUNCTION("""COMPUTED_VALUE"""),168.0)</f>
        <v>168</v>
      </c>
      <c r="AA23" s="20">
        <f>IFERROR(__xludf.DUMMYFUNCTION("""COMPUTED_VALUE"""),73.0)</f>
        <v>73</v>
      </c>
      <c r="AB23" s="21">
        <f>IFERROR(__xludf.DUMMYFUNCTION("""COMPUTED_VALUE"""),0.43)</f>
        <v>0.43</v>
      </c>
    </row>
    <row r="24">
      <c r="A24" s="20">
        <f>IFERROR(__xludf.DUMMYFUNCTION("""COMPUTED_VALUE"""),2740000.0)</f>
        <v>2740000</v>
      </c>
      <c r="B24" s="20" t="str">
        <f>IFERROR(__xludf.DUMMYFUNCTION("""COMPUTED_VALUE"""),"Somerville")</f>
        <v>Somerville</v>
      </c>
      <c r="C24" s="20">
        <f>IFERROR(__xludf.DUMMYFUNCTION("""COMPUTED_VALUE"""),2740111.0)</f>
        <v>2740111</v>
      </c>
      <c r="D24" s="20" t="str">
        <f>IFERROR(__xludf.DUMMYFUNCTION("""COMPUTED_VALUE"""),"E Somerville Community")</f>
        <v>E Somerville Community</v>
      </c>
      <c r="E24" s="24">
        <f>IFERROR(__xludf.DUMMYFUNCTION("""COMPUTED_VALUE"""),44260.0)</f>
        <v>44260</v>
      </c>
      <c r="F24" s="20" t="str">
        <f>IFERROR(__xludf.DUMMYFUNCTION("""COMPUTED_VALUE"""),"All")</f>
        <v>All</v>
      </c>
      <c r="G24" s="20">
        <f>IFERROR(__xludf.DUMMYFUNCTION("""COMPUTED_VALUE"""),97.0)</f>
        <v>97</v>
      </c>
      <c r="H24" s="20">
        <f>IFERROR(__xludf.DUMMYFUNCTION("""COMPUTED_VALUE"""),97.0)</f>
        <v>97</v>
      </c>
      <c r="I24" s="21">
        <f>IFERROR(__xludf.DUMMYFUNCTION("""COMPUTED_VALUE"""),1.0)</f>
        <v>1</v>
      </c>
      <c r="J24" s="20">
        <f>IFERROR(__xludf.DUMMYFUNCTION("""COMPUTED_VALUE"""),97.0)</f>
        <v>97</v>
      </c>
      <c r="K24" s="20">
        <f>IFERROR(__xludf.DUMMYFUNCTION("""COMPUTED_VALUE"""),3.0)</f>
        <v>3</v>
      </c>
      <c r="L24" s="21">
        <f>IFERROR(__xludf.DUMMYFUNCTION("""COMPUTED_VALUE"""),0.03)</f>
        <v>0.03</v>
      </c>
      <c r="M24" s="20">
        <f>IFERROR(__xludf.DUMMYFUNCTION("""COMPUTED_VALUE"""),12.0)</f>
        <v>12</v>
      </c>
      <c r="N24" s="21">
        <f>IFERROR(__xludf.DUMMYFUNCTION("""COMPUTED_VALUE"""),0.12)</f>
        <v>0.12</v>
      </c>
      <c r="O24" s="20">
        <f>IFERROR(__xludf.DUMMYFUNCTION("""COMPUTED_VALUE"""),45.0)</f>
        <v>45</v>
      </c>
      <c r="P24" s="21">
        <f>IFERROR(__xludf.DUMMYFUNCTION("""COMPUTED_VALUE"""),0.46)</f>
        <v>0.46</v>
      </c>
      <c r="Q24" s="20">
        <f>IFERROR(__xludf.DUMMYFUNCTION("""COMPUTED_VALUE"""),29.0)</f>
        <v>29</v>
      </c>
      <c r="R24" s="21">
        <f>IFERROR(__xludf.DUMMYFUNCTION("""COMPUTED_VALUE"""),0.3)</f>
        <v>0.3</v>
      </c>
      <c r="S24" s="20">
        <f>IFERROR(__xludf.DUMMYFUNCTION("""COMPUTED_VALUE"""),8.0)</f>
        <v>8</v>
      </c>
      <c r="T24" s="21">
        <f>IFERROR(__xludf.DUMMYFUNCTION("""COMPUTED_VALUE"""),0.08)</f>
        <v>0.08</v>
      </c>
      <c r="U24" s="20">
        <f>IFERROR(__xludf.DUMMYFUNCTION("""COMPUTED_VALUE"""),0.0)</f>
        <v>0</v>
      </c>
      <c r="V24" s="21">
        <f>IFERROR(__xludf.DUMMYFUNCTION("""COMPUTED_VALUE"""),0.0)</f>
        <v>0</v>
      </c>
      <c r="W24" s="20">
        <f>IFERROR(__xludf.DUMMYFUNCTION("""COMPUTED_VALUE"""),96.0)</f>
        <v>96</v>
      </c>
      <c r="X24" s="20">
        <f>IFERROR(__xludf.DUMMYFUNCTION("""COMPUTED_VALUE"""),53.0)</f>
        <v>53</v>
      </c>
      <c r="Y24" s="21">
        <f>IFERROR(__xludf.DUMMYFUNCTION("""COMPUTED_VALUE"""),0.55)</f>
        <v>0.55</v>
      </c>
      <c r="Z24" s="20">
        <f>IFERROR(__xludf.DUMMYFUNCTION("""COMPUTED_VALUE"""),97.0)</f>
        <v>97</v>
      </c>
      <c r="AA24" s="20">
        <f>IFERROR(__xludf.DUMMYFUNCTION("""COMPUTED_VALUE"""),29.0)</f>
        <v>29</v>
      </c>
      <c r="AB24" s="21">
        <f>IFERROR(__xludf.DUMMYFUNCTION("""COMPUTED_VALUE"""),0.3)</f>
        <v>0.3</v>
      </c>
    </row>
    <row r="25">
      <c r="A25" s="20">
        <f>IFERROR(__xludf.DUMMYFUNCTION("""COMPUTED_VALUE"""),2770000.0)</f>
        <v>2770000</v>
      </c>
      <c r="B25" s="20" t="str">
        <f>IFERROR(__xludf.DUMMYFUNCTION("""COMPUTED_VALUE"""),"Southbridge")</f>
        <v>Southbridge</v>
      </c>
      <c r="C25" s="20">
        <f>IFERROR(__xludf.DUMMYFUNCTION("""COMPUTED_VALUE"""),2770020.0)</f>
        <v>2770020</v>
      </c>
      <c r="D25" s="20" t="str">
        <f>IFERROR(__xludf.DUMMYFUNCTION("""COMPUTED_VALUE"""),"West Street")</f>
        <v>West Street</v>
      </c>
      <c r="E25" s="24">
        <f>IFERROR(__xludf.DUMMYFUNCTION("""COMPUTED_VALUE"""),44260.0)</f>
        <v>44260</v>
      </c>
      <c r="F25" s="20" t="str">
        <f>IFERROR(__xludf.DUMMYFUNCTION("""COMPUTED_VALUE"""),"All")</f>
        <v>All</v>
      </c>
      <c r="G25" s="20">
        <f>IFERROR(__xludf.DUMMYFUNCTION("""COMPUTED_VALUE"""),66.0)</f>
        <v>66</v>
      </c>
      <c r="H25" s="20">
        <f>IFERROR(__xludf.DUMMYFUNCTION("""COMPUTED_VALUE"""),66.0)</f>
        <v>66</v>
      </c>
      <c r="I25" s="21">
        <f>IFERROR(__xludf.DUMMYFUNCTION("""COMPUTED_VALUE"""),1.0)</f>
        <v>1</v>
      </c>
      <c r="J25" s="20">
        <f>IFERROR(__xludf.DUMMYFUNCTION("""COMPUTED_VALUE"""),66.0)</f>
        <v>66</v>
      </c>
      <c r="K25" s="20">
        <f>IFERROR(__xludf.DUMMYFUNCTION("""COMPUTED_VALUE"""),4.0)</f>
        <v>4</v>
      </c>
      <c r="L25" s="21">
        <f>IFERROR(__xludf.DUMMYFUNCTION("""COMPUTED_VALUE"""),0.06)</f>
        <v>0.06</v>
      </c>
      <c r="M25" s="20">
        <f>IFERROR(__xludf.DUMMYFUNCTION("""COMPUTED_VALUE"""),16.0)</f>
        <v>16</v>
      </c>
      <c r="N25" s="21">
        <f>IFERROR(__xludf.DUMMYFUNCTION("""COMPUTED_VALUE"""),0.24)</f>
        <v>0.24</v>
      </c>
      <c r="O25" s="20">
        <f>IFERROR(__xludf.DUMMYFUNCTION("""COMPUTED_VALUE"""),36.0)</f>
        <v>36</v>
      </c>
      <c r="P25" s="21">
        <f>IFERROR(__xludf.DUMMYFUNCTION("""COMPUTED_VALUE"""),0.55)</f>
        <v>0.55</v>
      </c>
      <c r="Q25" s="20">
        <f>IFERROR(__xludf.DUMMYFUNCTION("""COMPUTED_VALUE"""),9.0)</f>
        <v>9</v>
      </c>
      <c r="R25" s="21">
        <f>IFERROR(__xludf.DUMMYFUNCTION("""COMPUTED_VALUE"""),0.14)</f>
        <v>0.14</v>
      </c>
      <c r="S25" s="20">
        <f>IFERROR(__xludf.DUMMYFUNCTION("""COMPUTED_VALUE"""),1.0)</f>
        <v>1</v>
      </c>
      <c r="T25" s="21">
        <f>IFERROR(__xludf.DUMMYFUNCTION("""COMPUTED_VALUE"""),0.02)</f>
        <v>0.02</v>
      </c>
      <c r="U25" s="20">
        <f>IFERROR(__xludf.DUMMYFUNCTION("""COMPUTED_VALUE"""),0.0)</f>
        <v>0</v>
      </c>
      <c r="V25" s="21">
        <f>IFERROR(__xludf.DUMMYFUNCTION("""COMPUTED_VALUE"""),0.0)</f>
        <v>0</v>
      </c>
      <c r="W25" s="20">
        <f>IFERROR(__xludf.DUMMYFUNCTION("""COMPUTED_VALUE"""),62.0)</f>
        <v>62</v>
      </c>
      <c r="X25" s="20">
        <f>IFERROR(__xludf.DUMMYFUNCTION("""COMPUTED_VALUE"""),12.0)</f>
        <v>12</v>
      </c>
      <c r="Y25" s="21">
        <f>IFERROR(__xludf.DUMMYFUNCTION("""COMPUTED_VALUE"""),0.19)</f>
        <v>0.19</v>
      </c>
      <c r="Z25" s="20">
        <f>IFERROR(__xludf.DUMMYFUNCTION("""COMPUTED_VALUE"""),66.0)</f>
        <v>66</v>
      </c>
      <c r="AA25" s="20">
        <f>IFERROR(__xludf.DUMMYFUNCTION("""COMPUTED_VALUE"""),6.0)</f>
        <v>6</v>
      </c>
      <c r="AB25" s="21">
        <f>IFERROR(__xludf.DUMMYFUNCTION("""COMPUTED_VALUE"""),0.09)</f>
        <v>0.09</v>
      </c>
    </row>
    <row r="26">
      <c r="A26" s="20">
        <f>IFERROR(__xludf.DUMMYFUNCTION("""COMPUTED_VALUE"""),3150000.0)</f>
        <v>3150000</v>
      </c>
      <c r="B26" s="20" t="str">
        <f>IFERROR(__xludf.DUMMYFUNCTION("""COMPUTED_VALUE"""),"Wayland")</f>
        <v>Wayland</v>
      </c>
      <c r="C26" s="20">
        <f>IFERROR(__xludf.DUMMYFUNCTION("""COMPUTED_VALUE"""),3150020.0)</f>
        <v>3150020</v>
      </c>
      <c r="D26" s="20" t="str">
        <f>IFERROR(__xludf.DUMMYFUNCTION("""COMPUTED_VALUE"""),"Loker School")</f>
        <v>Loker School</v>
      </c>
      <c r="E26" s="24">
        <f>IFERROR(__xludf.DUMMYFUNCTION("""COMPUTED_VALUE"""),44260.0)</f>
        <v>44260</v>
      </c>
      <c r="F26" s="20" t="str">
        <f>IFERROR(__xludf.DUMMYFUNCTION("""COMPUTED_VALUE"""),"All")</f>
        <v>All</v>
      </c>
      <c r="G26" s="20">
        <f>IFERROR(__xludf.DUMMYFUNCTION("""COMPUTED_VALUE"""),13.0)</f>
        <v>13</v>
      </c>
      <c r="H26" s="20">
        <f>IFERROR(__xludf.DUMMYFUNCTION("""COMPUTED_VALUE"""),9.0)</f>
        <v>9</v>
      </c>
      <c r="I26" s="21">
        <f>IFERROR(__xludf.DUMMYFUNCTION("""COMPUTED_VALUE"""),0.69)</f>
        <v>0.69</v>
      </c>
      <c r="J26" s="20">
        <f>IFERROR(__xludf.DUMMYFUNCTION("""COMPUTED_VALUE"""),9.0)</f>
        <v>9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>
        <f>IFERROR(__xludf.DUMMYFUNCTION("""COMPUTED_VALUE"""),11.0)</f>
        <v>11</v>
      </c>
      <c r="X26" s="20">
        <f>IFERROR(__xludf.DUMMYFUNCTION("""COMPUTED_VALUE"""),6.0)</f>
        <v>6</v>
      </c>
      <c r="Y26" s="21">
        <f>IFERROR(__xludf.DUMMYFUNCTION("""COMPUTED_VALUE"""),0.55)</f>
        <v>0.55</v>
      </c>
      <c r="Z26" s="20">
        <f>IFERROR(__xludf.DUMMYFUNCTION("""COMPUTED_VALUE"""),13.0)</f>
        <v>13</v>
      </c>
      <c r="AA26" s="20">
        <f>IFERROR(__xludf.DUMMYFUNCTION("""COMPUTED_VALUE"""),6.0)</f>
        <v>6</v>
      </c>
      <c r="AB26" s="21">
        <f>IFERROR(__xludf.DUMMYFUNCTION("""COMPUTED_VALUE"""),0.46)</f>
        <v>0.46</v>
      </c>
    </row>
    <row r="27">
      <c r="A27" s="20">
        <f>IFERROR(__xludf.DUMMYFUNCTION("""COMPUTED_VALUE"""),3480000.0)</f>
        <v>3480000</v>
      </c>
      <c r="B27" s="20" t="str">
        <f>IFERROR(__xludf.DUMMYFUNCTION("""COMPUTED_VALUE"""),"Worcester")</f>
        <v>Worcester</v>
      </c>
      <c r="C27" s="20">
        <f>IFERROR(__xludf.DUMMYFUNCTION("""COMPUTED_VALUE"""),3480030.0)</f>
        <v>3480030</v>
      </c>
      <c r="D27" s="20" t="str">
        <f>IFERROR(__xludf.DUMMYFUNCTION("""COMPUTED_VALUE"""),"Woodland Academy")</f>
        <v>Woodland Academy</v>
      </c>
      <c r="E27" s="24">
        <f>IFERROR(__xludf.DUMMYFUNCTION("""COMPUTED_VALUE"""),44260.0)</f>
        <v>44260</v>
      </c>
      <c r="F27" s="20" t="str">
        <f>IFERROR(__xludf.DUMMYFUNCTION("""COMPUTED_VALUE"""),"All")</f>
        <v>All</v>
      </c>
      <c r="G27" s="20">
        <f>IFERROR(__xludf.DUMMYFUNCTION("""COMPUTED_VALUE"""),165.0)</f>
        <v>165</v>
      </c>
      <c r="H27" s="20">
        <f>IFERROR(__xludf.DUMMYFUNCTION("""COMPUTED_VALUE"""),164.0)</f>
        <v>164</v>
      </c>
      <c r="I27" s="21">
        <f>IFERROR(__xludf.DUMMYFUNCTION("""COMPUTED_VALUE"""),0.99)</f>
        <v>0.99</v>
      </c>
      <c r="J27" s="20">
        <f>IFERROR(__xludf.DUMMYFUNCTION("""COMPUTED_VALUE"""),164.0)</f>
        <v>164</v>
      </c>
      <c r="K27" s="20">
        <f>IFERROR(__xludf.DUMMYFUNCTION("""COMPUTED_VALUE"""),8.0)</f>
        <v>8</v>
      </c>
      <c r="L27" s="21">
        <f>IFERROR(__xludf.DUMMYFUNCTION("""COMPUTED_VALUE"""),0.05)</f>
        <v>0.05</v>
      </c>
      <c r="M27" s="20">
        <f>IFERROR(__xludf.DUMMYFUNCTION("""COMPUTED_VALUE"""),17.0)</f>
        <v>17</v>
      </c>
      <c r="N27" s="21">
        <f>IFERROR(__xludf.DUMMYFUNCTION("""COMPUTED_VALUE"""),0.1)</f>
        <v>0.1</v>
      </c>
      <c r="O27" s="20">
        <f>IFERROR(__xludf.DUMMYFUNCTION("""COMPUTED_VALUE"""),54.0)</f>
        <v>54</v>
      </c>
      <c r="P27" s="21">
        <f>IFERROR(__xludf.DUMMYFUNCTION("""COMPUTED_VALUE"""),0.33)</f>
        <v>0.33</v>
      </c>
      <c r="Q27" s="20">
        <f>IFERROR(__xludf.DUMMYFUNCTION("""COMPUTED_VALUE"""),63.0)</f>
        <v>63</v>
      </c>
      <c r="R27" s="21">
        <f>IFERROR(__xludf.DUMMYFUNCTION("""COMPUTED_VALUE"""),0.38)</f>
        <v>0.38</v>
      </c>
      <c r="S27" s="20">
        <f>IFERROR(__xludf.DUMMYFUNCTION("""COMPUTED_VALUE"""),22.0)</f>
        <v>22</v>
      </c>
      <c r="T27" s="21">
        <f>IFERROR(__xludf.DUMMYFUNCTION("""COMPUTED_VALUE"""),0.13)</f>
        <v>0.13</v>
      </c>
      <c r="U27" s="20">
        <f>IFERROR(__xludf.DUMMYFUNCTION("""COMPUTED_VALUE"""),0.0)</f>
        <v>0</v>
      </c>
      <c r="V27" s="21">
        <f>IFERROR(__xludf.DUMMYFUNCTION("""COMPUTED_VALUE"""),0.0)</f>
        <v>0</v>
      </c>
      <c r="W27" s="20">
        <f>IFERROR(__xludf.DUMMYFUNCTION("""COMPUTED_VALUE"""),147.0)</f>
        <v>147</v>
      </c>
      <c r="X27" s="20">
        <f>IFERROR(__xludf.DUMMYFUNCTION("""COMPUTED_VALUE"""),87.0)</f>
        <v>87</v>
      </c>
      <c r="Y27" s="21">
        <f>IFERROR(__xludf.DUMMYFUNCTION("""COMPUTED_VALUE"""),0.59)</f>
        <v>0.59</v>
      </c>
      <c r="Z27" s="20">
        <f>IFERROR(__xludf.DUMMYFUNCTION("""COMPUTED_VALUE"""),165.0)</f>
        <v>165</v>
      </c>
      <c r="AA27" s="20">
        <f>IFERROR(__xludf.DUMMYFUNCTION("""COMPUTED_VALUE"""),69.0)</f>
        <v>69</v>
      </c>
      <c r="AB27" s="21">
        <f>IFERROR(__xludf.DUMMYFUNCTION("""COMPUTED_VALUE"""),0.42)</f>
        <v>0.42</v>
      </c>
    </row>
    <row r="28">
      <c r="A28" s="20">
        <f>IFERROR(__xludf.DUMMYFUNCTION("""COMPUTED_VALUE"""),3480000.0)</f>
        <v>3480000</v>
      </c>
      <c r="B28" s="20" t="str">
        <f>IFERROR(__xludf.DUMMYFUNCTION("""COMPUTED_VALUE"""),"Worcester")</f>
        <v>Worcester</v>
      </c>
      <c r="C28" s="20">
        <f>IFERROR(__xludf.DUMMYFUNCTION("""COMPUTED_VALUE"""),3480052.0)</f>
        <v>3480052</v>
      </c>
      <c r="D28" s="20" t="str">
        <f>IFERROR(__xludf.DUMMYFUNCTION("""COMPUTED_VALUE"""),"Chandler Magnet")</f>
        <v>Chandler Magnet</v>
      </c>
      <c r="E28" s="24">
        <f>IFERROR(__xludf.DUMMYFUNCTION("""COMPUTED_VALUE"""),44260.0)</f>
        <v>44260</v>
      </c>
      <c r="F28" s="20" t="str">
        <f>IFERROR(__xludf.DUMMYFUNCTION("""COMPUTED_VALUE"""),"All")</f>
        <v>All</v>
      </c>
      <c r="G28" s="20">
        <f>IFERROR(__xludf.DUMMYFUNCTION("""COMPUTED_VALUE"""),141.0)</f>
        <v>141</v>
      </c>
      <c r="H28" s="20">
        <f>IFERROR(__xludf.DUMMYFUNCTION("""COMPUTED_VALUE"""),141.0)</f>
        <v>141</v>
      </c>
      <c r="I28" s="21">
        <f>IFERROR(__xludf.DUMMYFUNCTION("""COMPUTED_VALUE"""),1.0)</f>
        <v>1</v>
      </c>
      <c r="J28" s="20">
        <f>IFERROR(__xludf.DUMMYFUNCTION("""COMPUTED_VALUE"""),141.0)</f>
        <v>141</v>
      </c>
      <c r="K28" s="20">
        <f>IFERROR(__xludf.DUMMYFUNCTION("""COMPUTED_VALUE"""),35.0)</f>
        <v>35</v>
      </c>
      <c r="L28" s="21">
        <f>IFERROR(__xludf.DUMMYFUNCTION("""COMPUTED_VALUE"""),0.25)</f>
        <v>0.25</v>
      </c>
      <c r="M28" s="20">
        <f>IFERROR(__xludf.DUMMYFUNCTION("""COMPUTED_VALUE"""),27.0)</f>
        <v>27</v>
      </c>
      <c r="N28" s="21">
        <f>IFERROR(__xludf.DUMMYFUNCTION("""COMPUTED_VALUE"""),0.19)</f>
        <v>0.19</v>
      </c>
      <c r="O28" s="20">
        <f>IFERROR(__xludf.DUMMYFUNCTION("""COMPUTED_VALUE"""),44.0)</f>
        <v>44</v>
      </c>
      <c r="P28" s="21">
        <f>IFERROR(__xludf.DUMMYFUNCTION("""COMPUTED_VALUE"""),0.31)</f>
        <v>0.31</v>
      </c>
      <c r="Q28" s="20">
        <f>IFERROR(__xludf.DUMMYFUNCTION("""COMPUTED_VALUE"""),32.0)</f>
        <v>32</v>
      </c>
      <c r="R28" s="21">
        <f>IFERROR(__xludf.DUMMYFUNCTION("""COMPUTED_VALUE"""),0.23)</f>
        <v>0.23</v>
      </c>
      <c r="S28" s="20">
        <f>IFERROR(__xludf.DUMMYFUNCTION("""COMPUTED_VALUE"""),3.0)</f>
        <v>3</v>
      </c>
      <c r="T28" s="21">
        <f>IFERROR(__xludf.DUMMYFUNCTION("""COMPUTED_VALUE"""),0.02)</f>
        <v>0.02</v>
      </c>
      <c r="U28" s="20">
        <f>IFERROR(__xludf.DUMMYFUNCTION("""COMPUTED_VALUE"""),0.0)</f>
        <v>0</v>
      </c>
      <c r="V28" s="21">
        <f>IFERROR(__xludf.DUMMYFUNCTION("""COMPUTED_VALUE"""),0.0)</f>
        <v>0</v>
      </c>
      <c r="W28" s="20">
        <f>IFERROR(__xludf.DUMMYFUNCTION("""COMPUTED_VALUE"""),99.0)</f>
        <v>99</v>
      </c>
      <c r="X28" s="20">
        <f>IFERROR(__xludf.DUMMYFUNCTION("""COMPUTED_VALUE"""),43.0)</f>
        <v>43</v>
      </c>
      <c r="Y28" s="21">
        <f>IFERROR(__xludf.DUMMYFUNCTION("""COMPUTED_VALUE"""),0.43)</f>
        <v>0.43</v>
      </c>
      <c r="Z28" s="20">
        <f>IFERROR(__xludf.DUMMYFUNCTION("""COMPUTED_VALUE"""),141.0)</f>
        <v>141</v>
      </c>
      <c r="AA28" s="20">
        <f>IFERROR(__xludf.DUMMYFUNCTION("""COMPUTED_VALUE"""),22.0)</f>
        <v>22</v>
      </c>
      <c r="AB28" s="21">
        <f>IFERROR(__xludf.DUMMYFUNCTION("""COMPUTED_VALUE"""),0.16)</f>
        <v>0.16</v>
      </c>
    </row>
    <row r="29">
      <c r="A29" s="20">
        <f>IFERROR(__xludf.DUMMYFUNCTION("""COMPUTED_VALUE"""),3480000.0)</f>
        <v>3480000</v>
      </c>
      <c r="B29" s="20" t="str">
        <f>IFERROR(__xludf.DUMMYFUNCTION("""COMPUTED_VALUE"""),"Worcester")</f>
        <v>Worcester</v>
      </c>
      <c r="C29" s="20">
        <f>IFERROR(__xludf.DUMMYFUNCTION("""COMPUTED_VALUE"""),3480220.0)</f>
        <v>3480220</v>
      </c>
      <c r="D29" s="20" t="str">
        <f>IFERROR(__xludf.DUMMYFUNCTION("""COMPUTED_VALUE"""),"Roosevelt")</f>
        <v>Roosevelt</v>
      </c>
      <c r="E29" s="24">
        <f>IFERROR(__xludf.DUMMYFUNCTION("""COMPUTED_VALUE"""),44260.0)</f>
        <v>44260</v>
      </c>
      <c r="F29" s="20" t="str">
        <f>IFERROR(__xludf.DUMMYFUNCTION("""COMPUTED_VALUE"""),"All")</f>
        <v>All</v>
      </c>
      <c r="G29" s="20">
        <f>IFERROR(__xludf.DUMMYFUNCTION("""COMPUTED_VALUE"""),54.0)</f>
        <v>54</v>
      </c>
      <c r="H29" s="20">
        <f>IFERROR(__xludf.DUMMYFUNCTION("""COMPUTED_VALUE"""),54.0)</f>
        <v>54</v>
      </c>
      <c r="I29" s="21">
        <f>IFERROR(__xludf.DUMMYFUNCTION("""COMPUTED_VALUE"""),1.0)</f>
        <v>1</v>
      </c>
      <c r="J29" s="20">
        <f>IFERROR(__xludf.DUMMYFUNCTION("""COMPUTED_VALUE"""),41.0)</f>
        <v>41</v>
      </c>
      <c r="K29" s="20">
        <f>IFERROR(__xludf.DUMMYFUNCTION("""COMPUTED_VALUE"""),1.0)</f>
        <v>1</v>
      </c>
      <c r="L29" s="21">
        <f>IFERROR(__xludf.DUMMYFUNCTION("""COMPUTED_VALUE"""),0.02)</f>
        <v>0.02</v>
      </c>
      <c r="M29" s="20">
        <f>IFERROR(__xludf.DUMMYFUNCTION("""COMPUTED_VALUE"""),4.0)</f>
        <v>4</v>
      </c>
      <c r="N29" s="21">
        <f>IFERROR(__xludf.DUMMYFUNCTION("""COMPUTED_VALUE"""),0.1)</f>
        <v>0.1</v>
      </c>
      <c r="O29" s="20">
        <f>IFERROR(__xludf.DUMMYFUNCTION("""COMPUTED_VALUE"""),12.0)</f>
        <v>12</v>
      </c>
      <c r="P29" s="21">
        <f>IFERROR(__xludf.DUMMYFUNCTION("""COMPUTED_VALUE"""),0.29)</f>
        <v>0.29</v>
      </c>
      <c r="Q29" s="20">
        <f>IFERROR(__xludf.DUMMYFUNCTION("""COMPUTED_VALUE"""),20.0)</f>
        <v>20</v>
      </c>
      <c r="R29" s="21">
        <f>IFERROR(__xludf.DUMMYFUNCTION("""COMPUTED_VALUE"""),0.49)</f>
        <v>0.49</v>
      </c>
      <c r="S29" s="20">
        <f>IFERROR(__xludf.DUMMYFUNCTION("""COMPUTED_VALUE"""),4.0)</f>
        <v>4</v>
      </c>
      <c r="T29" s="21">
        <f>IFERROR(__xludf.DUMMYFUNCTION("""COMPUTED_VALUE"""),0.1)</f>
        <v>0.1</v>
      </c>
      <c r="U29" s="20">
        <f>IFERROR(__xludf.DUMMYFUNCTION("""COMPUTED_VALUE"""),0.0)</f>
        <v>0</v>
      </c>
      <c r="V29" s="21">
        <f>IFERROR(__xludf.DUMMYFUNCTION("""COMPUTED_VALUE"""),0.0)</f>
        <v>0</v>
      </c>
      <c r="W29" s="20">
        <f>IFERROR(__xludf.DUMMYFUNCTION("""COMPUTED_VALUE"""),48.0)</f>
        <v>48</v>
      </c>
      <c r="X29" s="20">
        <f>IFERROR(__xludf.DUMMYFUNCTION("""COMPUTED_VALUE"""),28.0)</f>
        <v>28</v>
      </c>
      <c r="Y29" s="21">
        <f>IFERROR(__xludf.DUMMYFUNCTION("""COMPUTED_VALUE"""),0.58)</f>
        <v>0.58</v>
      </c>
      <c r="Z29" s="20">
        <f>IFERROR(__xludf.DUMMYFUNCTION("""COMPUTED_VALUE"""),54.0)</f>
        <v>54</v>
      </c>
      <c r="AA29" s="20">
        <f>IFERROR(__xludf.DUMMYFUNCTION("""COMPUTED_VALUE"""),22.0)</f>
        <v>22</v>
      </c>
      <c r="AB29" s="21">
        <f>IFERROR(__xludf.DUMMYFUNCTION("""COMPUTED_VALUE"""),0.41)</f>
        <v>0.41</v>
      </c>
    </row>
    <row r="30">
      <c r="L30" s="22">
        <f>AVERAGE(L8:L29)</f>
        <v>0.06428571429</v>
      </c>
      <c r="N30" s="22">
        <f>AVERAGE(N8:N29)</f>
        <v>0.1152380952</v>
      </c>
      <c r="P30" s="22">
        <f>AVERAGE(P8:P29)</f>
        <v>0.359047619</v>
      </c>
      <c r="R30" s="22">
        <f>AVERAGE(R8:R29)</f>
        <v>0.3485714286</v>
      </c>
      <c r="T30" s="22">
        <f>AVERAGE(T8:T29)</f>
        <v>0.1047619048</v>
      </c>
      <c r="V30" s="22">
        <f>AVERAGE(V8:V29)</f>
        <v>0.008571428571</v>
      </c>
    </row>
    <row r="32">
      <c r="L32" s="22">
        <f>MEDIAN(L7:L31)</f>
        <v>0.055</v>
      </c>
      <c r="N32" s="22">
        <f>MEDIAN(N7:N31)</f>
        <v>0.1176190476</v>
      </c>
      <c r="P32" s="22">
        <f>MEDIAN(P7:P31)</f>
        <v>0.335</v>
      </c>
      <c r="R32" s="22">
        <f>MEDIAN(R7:R31)</f>
        <v>0.3392857143</v>
      </c>
      <c r="T32" s="22">
        <f>MEDIAN(T7:T31)</f>
        <v>0.1</v>
      </c>
      <c r="V32" s="22">
        <f>MEDIAN(V7:V31)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18.43"/>
    <col customWidth="1" min="8" max="8" width="22.86"/>
    <col customWidth="1" min="9" max="9" width="16.71"/>
    <col customWidth="1" min="10" max="10" width="20.43"/>
    <col customWidth="1" min="23" max="23" width="20.14"/>
    <col customWidth="1" min="24" max="24" width="17.0"/>
    <col customWidth="1" min="25" max="25" width="17.57"/>
    <col customWidth="1" min="26" max="26" width="29.86"/>
    <col customWidth="1" min="27" max="27" width="19.71"/>
    <col customWidth="1" min="28" max="28" width="20.29"/>
  </cols>
  <sheetData>
    <row r="3">
      <c r="B3" s="19" t="s">
        <v>4</v>
      </c>
      <c r="C3" s="24">
        <v>44355.0</v>
      </c>
    </row>
    <row r="7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3" t="s">
        <v>8</v>
      </c>
      <c r="J7" s="3" t="s">
        <v>9</v>
      </c>
      <c r="K7" s="2" t="s">
        <v>10</v>
      </c>
      <c r="L7" s="4" t="s">
        <v>11</v>
      </c>
      <c r="M7" s="2" t="s">
        <v>12</v>
      </c>
      <c r="N7" s="4" t="s">
        <v>13</v>
      </c>
      <c r="O7" s="2" t="s">
        <v>14</v>
      </c>
      <c r="P7" s="4" t="s">
        <v>15</v>
      </c>
      <c r="Q7" s="2" t="s">
        <v>16</v>
      </c>
      <c r="R7" s="4" t="s">
        <v>17</v>
      </c>
      <c r="S7" s="2" t="s">
        <v>18</v>
      </c>
      <c r="T7" s="4" t="s">
        <v>19</v>
      </c>
      <c r="U7" s="2" t="s">
        <v>20</v>
      </c>
      <c r="V7" s="4" t="s">
        <v>21</v>
      </c>
      <c r="W7" s="2" t="s">
        <v>22</v>
      </c>
      <c r="X7" s="5" t="s">
        <v>23</v>
      </c>
      <c r="Y7" s="6" t="s">
        <v>24</v>
      </c>
      <c r="Z7" s="5" t="s">
        <v>25</v>
      </c>
      <c r="AA7" s="7" t="s">
        <v>26</v>
      </c>
      <c r="AB7" s="8" t="s">
        <v>27</v>
      </c>
    </row>
    <row r="8">
      <c r="A8" s="25">
        <f>IFERROR(__xludf.DUMMYFUNCTION("FILTER('ACCESS DLTB'!A2:AB3061,'ACCESS DLTB'!E2:E3061=C3)"),350000.0)</f>
        <v>350000</v>
      </c>
      <c r="B8" s="20" t="str">
        <f>IFERROR(__xludf.DUMMYFUNCTION("""COMPUTED_VALUE"""),"Boston")</f>
        <v>Boston</v>
      </c>
      <c r="C8" s="20">
        <f>IFERROR(__xludf.DUMMYFUNCTION("""COMPUTED_VALUE"""),350182.0)</f>
        <v>350182</v>
      </c>
      <c r="D8" s="20" t="str">
        <f>IFERROR(__xludf.DUMMYFUNCTION("""COMPUTED_VALUE"""),"Joseph J Hurley")</f>
        <v>Joseph J Hurley</v>
      </c>
      <c r="E8" s="24">
        <f>IFERROR(__xludf.DUMMYFUNCTION("""COMPUTED_VALUE"""),44355.0)</f>
        <v>44355</v>
      </c>
      <c r="F8" s="20" t="str">
        <f>IFERROR(__xludf.DUMMYFUNCTION("""COMPUTED_VALUE"""),"All")</f>
        <v>All</v>
      </c>
      <c r="G8" s="20">
        <f>IFERROR(__xludf.DUMMYFUNCTION("""COMPUTED_VALUE"""),36.0)</f>
        <v>36</v>
      </c>
      <c r="H8" s="20">
        <f>IFERROR(__xludf.DUMMYFUNCTION("""COMPUTED_VALUE"""),36.0)</f>
        <v>36</v>
      </c>
      <c r="I8" s="21">
        <f>IFERROR(__xludf.DUMMYFUNCTION("""COMPUTED_VALUE"""),1.0)</f>
        <v>1</v>
      </c>
      <c r="J8" s="20">
        <f>IFERROR(__xludf.DUMMYFUNCTION("""COMPUTED_VALUE"""),36.0)</f>
        <v>36</v>
      </c>
      <c r="K8" s="20">
        <f>IFERROR(__xludf.DUMMYFUNCTION("""COMPUTED_VALUE"""),0.0)</f>
        <v>0</v>
      </c>
      <c r="L8" s="21">
        <f>IFERROR(__xludf.DUMMYFUNCTION("""COMPUTED_VALUE"""),0.0)</f>
        <v>0</v>
      </c>
      <c r="M8" s="20">
        <f>IFERROR(__xludf.DUMMYFUNCTION("""COMPUTED_VALUE"""),1.0)</f>
        <v>1</v>
      </c>
      <c r="N8" s="21">
        <f>IFERROR(__xludf.DUMMYFUNCTION("""COMPUTED_VALUE"""),0.03)</f>
        <v>0.03</v>
      </c>
      <c r="O8" s="20">
        <f>IFERROR(__xludf.DUMMYFUNCTION("""COMPUTED_VALUE"""),9.0)</f>
        <v>9</v>
      </c>
      <c r="P8" s="21">
        <f>IFERROR(__xludf.DUMMYFUNCTION("""COMPUTED_VALUE"""),0.25)</f>
        <v>0.25</v>
      </c>
      <c r="Q8" s="20">
        <f>IFERROR(__xludf.DUMMYFUNCTION("""COMPUTED_VALUE"""),23.0)</f>
        <v>23</v>
      </c>
      <c r="R8" s="21">
        <f>IFERROR(__xludf.DUMMYFUNCTION("""COMPUTED_VALUE"""),0.64)</f>
        <v>0.64</v>
      </c>
      <c r="S8" s="20">
        <f>IFERROR(__xludf.DUMMYFUNCTION("""COMPUTED_VALUE"""),3.0)</f>
        <v>3</v>
      </c>
      <c r="T8" s="21">
        <f>IFERROR(__xludf.DUMMYFUNCTION("""COMPUTED_VALUE"""),0.08)</f>
        <v>0.08</v>
      </c>
      <c r="U8" s="20">
        <f>IFERROR(__xludf.DUMMYFUNCTION("""COMPUTED_VALUE"""),0.0)</f>
        <v>0</v>
      </c>
      <c r="V8" s="21">
        <f>IFERROR(__xludf.DUMMYFUNCTION("""COMPUTED_VALUE"""),0.0)</f>
        <v>0</v>
      </c>
      <c r="W8" s="20">
        <f>IFERROR(__xludf.DUMMYFUNCTION("""COMPUTED_VALUE"""),35.0)</f>
        <v>35</v>
      </c>
      <c r="X8" s="20">
        <f>IFERROR(__xludf.DUMMYFUNCTION("""COMPUTED_VALUE"""),21.0)</f>
        <v>21</v>
      </c>
      <c r="Y8" s="21">
        <f>IFERROR(__xludf.DUMMYFUNCTION("""COMPUTED_VALUE"""),0.6)</f>
        <v>0.6</v>
      </c>
      <c r="Z8" s="20">
        <f>IFERROR(__xludf.DUMMYFUNCTION("""COMPUTED_VALUE"""),36.0)</f>
        <v>36</v>
      </c>
      <c r="AA8" s="20">
        <f>IFERROR(__xludf.DUMMYFUNCTION("""COMPUTED_VALUE"""),18.0)</f>
        <v>18</v>
      </c>
      <c r="AB8" s="21">
        <f>IFERROR(__xludf.DUMMYFUNCTION("""COMPUTED_VALUE"""),0.5)</f>
        <v>0.5</v>
      </c>
    </row>
    <row r="9">
      <c r="A9" s="20">
        <f>IFERROR(__xludf.DUMMYFUNCTION("""COMPUTED_VALUE"""),350000.0)</f>
        <v>350000</v>
      </c>
      <c r="B9" s="20" t="str">
        <f>IFERROR(__xludf.DUMMYFUNCTION("""COMPUTED_VALUE"""),"Boston")</f>
        <v>Boston</v>
      </c>
      <c r="C9" s="20">
        <f>IFERROR(__xludf.DUMMYFUNCTION("""COMPUTED_VALUE"""),350308.0)</f>
        <v>350308</v>
      </c>
      <c r="D9" s="20" t="str">
        <f>IFERROR(__xludf.DUMMYFUNCTION("""COMPUTED_VALUE"""),"Sarah Greenwood")</f>
        <v>Sarah Greenwood</v>
      </c>
      <c r="E9" s="24">
        <f>IFERROR(__xludf.DUMMYFUNCTION("""COMPUTED_VALUE"""),44355.0)</f>
        <v>44355</v>
      </c>
      <c r="F9" s="20" t="str">
        <f>IFERROR(__xludf.DUMMYFUNCTION("""COMPUTED_VALUE"""),"All")</f>
        <v>All</v>
      </c>
      <c r="G9" s="20">
        <f>IFERROR(__xludf.DUMMYFUNCTION("""COMPUTED_VALUE"""),26.0)</f>
        <v>26</v>
      </c>
      <c r="H9" s="20">
        <f>IFERROR(__xludf.DUMMYFUNCTION("""COMPUTED_VALUE"""),26.0)</f>
        <v>26</v>
      </c>
      <c r="I9" s="21">
        <f>IFERROR(__xludf.DUMMYFUNCTION("""COMPUTED_VALUE"""),1.0)</f>
        <v>1</v>
      </c>
      <c r="J9" s="20">
        <f>IFERROR(__xludf.DUMMYFUNCTION("""COMPUTED_VALUE"""),26.0)</f>
        <v>26</v>
      </c>
      <c r="K9" s="20">
        <f>IFERROR(__xludf.DUMMYFUNCTION("""COMPUTED_VALUE"""),3.0)</f>
        <v>3</v>
      </c>
      <c r="L9" s="21">
        <f>IFERROR(__xludf.DUMMYFUNCTION("""COMPUTED_VALUE"""),0.12)</f>
        <v>0.12</v>
      </c>
      <c r="M9" s="20">
        <f>IFERROR(__xludf.DUMMYFUNCTION("""COMPUTED_VALUE"""),8.0)</f>
        <v>8</v>
      </c>
      <c r="N9" s="21">
        <f>IFERROR(__xludf.DUMMYFUNCTION("""COMPUTED_VALUE"""),0.31)</f>
        <v>0.31</v>
      </c>
      <c r="O9" s="20">
        <f>IFERROR(__xludf.DUMMYFUNCTION("""COMPUTED_VALUE"""),13.0)</f>
        <v>13</v>
      </c>
      <c r="P9" s="21">
        <f>IFERROR(__xludf.DUMMYFUNCTION("""COMPUTED_VALUE"""),0.5)</f>
        <v>0.5</v>
      </c>
      <c r="Q9" s="20">
        <f>IFERROR(__xludf.DUMMYFUNCTION("""COMPUTED_VALUE"""),2.0)</f>
        <v>2</v>
      </c>
      <c r="R9" s="21">
        <f>IFERROR(__xludf.DUMMYFUNCTION("""COMPUTED_VALUE"""),0.08)</f>
        <v>0.08</v>
      </c>
      <c r="S9" s="20">
        <f>IFERROR(__xludf.DUMMYFUNCTION("""COMPUTED_VALUE"""),0.0)</f>
        <v>0</v>
      </c>
      <c r="T9" s="21">
        <f>IFERROR(__xludf.DUMMYFUNCTION("""COMPUTED_VALUE"""),0.0)</f>
        <v>0</v>
      </c>
      <c r="U9" s="20">
        <f>IFERROR(__xludf.DUMMYFUNCTION("""COMPUTED_VALUE"""),0.0)</f>
        <v>0</v>
      </c>
      <c r="V9" s="21">
        <f>IFERROR(__xludf.DUMMYFUNCTION("""COMPUTED_VALUE"""),0.0)</f>
        <v>0</v>
      </c>
      <c r="W9" s="20">
        <f>IFERROR(__xludf.DUMMYFUNCTION("""COMPUTED_VALUE"""),19.0)</f>
        <v>19</v>
      </c>
      <c r="X9" s="20">
        <f>IFERROR(__xludf.DUMMYFUNCTION("""COMPUTED_VALUE"""),4.0)</f>
        <v>4</v>
      </c>
      <c r="Y9" s="21">
        <f>IFERROR(__xludf.DUMMYFUNCTION("""COMPUTED_VALUE"""),0.21)</f>
        <v>0.21</v>
      </c>
      <c r="Z9" s="20">
        <f>IFERROR(__xludf.DUMMYFUNCTION("""COMPUTED_VALUE"""),26.0)</f>
        <v>26</v>
      </c>
      <c r="AA9" s="20">
        <f>IFERROR(__xludf.DUMMYFUNCTION("""COMPUTED_VALUE"""),1.0)</f>
        <v>1</v>
      </c>
      <c r="AB9" s="21">
        <f>IFERROR(__xludf.DUMMYFUNCTION("""COMPUTED_VALUE"""),0.04)</f>
        <v>0.04</v>
      </c>
    </row>
    <row r="10">
      <c r="A10" s="20">
        <f>IFERROR(__xludf.DUMMYFUNCTION("""COMPUTED_VALUE"""),350000.0)</f>
        <v>350000</v>
      </c>
      <c r="B10" s="20" t="str">
        <f>IFERROR(__xludf.DUMMYFUNCTION("""COMPUTED_VALUE"""),"Boston")</f>
        <v>Boston</v>
      </c>
      <c r="C10" s="20">
        <f>IFERROR(__xludf.DUMMYFUNCTION("""COMPUTED_VALUE"""),350656.0)</f>
        <v>350656</v>
      </c>
      <c r="D10" s="20" t="str">
        <f>IFERROR(__xludf.DUMMYFUNCTION("""COMPUTED_VALUE"""),"Mario Umana Academy")</f>
        <v>Mario Umana Academy</v>
      </c>
      <c r="E10" s="24">
        <f>IFERROR(__xludf.DUMMYFUNCTION("""COMPUTED_VALUE"""),44355.0)</f>
        <v>44355</v>
      </c>
      <c r="F10" s="20" t="str">
        <f>IFERROR(__xludf.DUMMYFUNCTION("""COMPUTED_VALUE"""),"All")</f>
        <v>All</v>
      </c>
      <c r="G10" s="20">
        <f>IFERROR(__xludf.DUMMYFUNCTION("""COMPUTED_VALUE"""),260.0)</f>
        <v>260</v>
      </c>
      <c r="H10" s="20">
        <f>IFERROR(__xludf.DUMMYFUNCTION("""COMPUTED_VALUE"""),259.0)</f>
        <v>259</v>
      </c>
      <c r="I10" s="21">
        <f>IFERROR(__xludf.DUMMYFUNCTION("""COMPUTED_VALUE"""),1.0)</f>
        <v>1</v>
      </c>
      <c r="J10" s="20">
        <f>IFERROR(__xludf.DUMMYFUNCTION("""COMPUTED_VALUE"""),250.0)</f>
        <v>250</v>
      </c>
      <c r="K10" s="20">
        <f>IFERROR(__xludf.DUMMYFUNCTION("""COMPUTED_VALUE"""),22.0)</f>
        <v>22</v>
      </c>
      <c r="L10" s="21">
        <f>IFERROR(__xludf.DUMMYFUNCTION("""COMPUTED_VALUE"""),0.09)</f>
        <v>0.09</v>
      </c>
      <c r="M10" s="20">
        <f>IFERROR(__xludf.DUMMYFUNCTION("""COMPUTED_VALUE"""),38.0)</f>
        <v>38</v>
      </c>
      <c r="N10" s="21">
        <f>IFERROR(__xludf.DUMMYFUNCTION("""COMPUTED_VALUE"""),0.15)</f>
        <v>0.15</v>
      </c>
      <c r="O10" s="20">
        <f>IFERROR(__xludf.DUMMYFUNCTION("""COMPUTED_VALUE"""),88.0)</f>
        <v>88</v>
      </c>
      <c r="P10" s="21">
        <f>IFERROR(__xludf.DUMMYFUNCTION("""COMPUTED_VALUE"""),0.35)</f>
        <v>0.35</v>
      </c>
      <c r="Q10" s="20">
        <f>IFERROR(__xludf.DUMMYFUNCTION("""COMPUTED_VALUE"""),93.0)</f>
        <v>93</v>
      </c>
      <c r="R10" s="21">
        <f>IFERROR(__xludf.DUMMYFUNCTION("""COMPUTED_VALUE"""),0.37)</f>
        <v>0.37</v>
      </c>
      <c r="S10" s="20">
        <f>IFERROR(__xludf.DUMMYFUNCTION("""COMPUTED_VALUE"""),9.0)</f>
        <v>9</v>
      </c>
      <c r="T10" s="21">
        <f>IFERROR(__xludf.DUMMYFUNCTION("""COMPUTED_VALUE"""),0.04)</f>
        <v>0.04</v>
      </c>
      <c r="U10" s="20">
        <f>IFERROR(__xludf.DUMMYFUNCTION("""COMPUTED_VALUE"""),0.0)</f>
        <v>0</v>
      </c>
      <c r="V10" s="21">
        <f>IFERROR(__xludf.DUMMYFUNCTION("""COMPUTED_VALUE"""),0.0)</f>
        <v>0</v>
      </c>
      <c r="W10" s="20">
        <f>IFERROR(__xludf.DUMMYFUNCTION("""COMPUTED_VALUE"""),235.0)</f>
        <v>235</v>
      </c>
      <c r="X10" s="20">
        <f>IFERROR(__xludf.DUMMYFUNCTION("""COMPUTED_VALUE"""),101.0)</f>
        <v>101</v>
      </c>
      <c r="Y10" s="21">
        <f>IFERROR(__xludf.DUMMYFUNCTION("""COMPUTED_VALUE"""),0.43)</f>
        <v>0.43</v>
      </c>
      <c r="Z10" s="20">
        <f>IFERROR(__xludf.DUMMYFUNCTION("""COMPUTED_VALUE"""),260.0)</f>
        <v>260</v>
      </c>
      <c r="AA10" s="20">
        <f>IFERROR(__xludf.DUMMYFUNCTION("""COMPUTED_VALUE"""),77.0)</f>
        <v>77</v>
      </c>
      <c r="AB10" s="21">
        <f>IFERROR(__xludf.DUMMYFUNCTION("""COMPUTED_VALUE"""),0.3)</f>
        <v>0.3</v>
      </c>
    </row>
    <row r="11">
      <c r="A11" s="20">
        <f>IFERROR(__xludf.DUMMYFUNCTION("""COMPUTED_VALUE"""),350000.0)</f>
        <v>350000</v>
      </c>
      <c r="B11" s="20" t="str">
        <f>IFERROR(__xludf.DUMMYFUNCTION("""COMPUTED_VALUE"""),"Boston")</f>
        <v>Boston</v>
      </c>
      <c r="C11" s="20">
        <f>IFERROR(__xludf.DUMMYFUNCTION("""COMPUTED_VALUE"""),350691.0)</f>
        <v>350691</v>
      </c>
      <c r="D11" s="20" t="str">
        <f>IFERROR(__xludf.DUMMYFUNCTION("""COMPUTED_VALUE"""),"Rafael Hernandez")</f>
        <v>Rafael Hernandez</v>
      </c>
      <c r="E11" s="24">
        <f>IFERROR(__xludf.DUMMYFUNCTION("""COMPUTED_VALUE"""),44355.0)</f>
        <v>44355</v>
      </c>
      <c r="F11" s="20" t="str">
        <f>IFERROR(__xludf.DUMMYFUNCTION("""COMPUTED_VALUE"""),"All")</f>
        <v>All</v>
      </c>
      <c r="G11" s="20">
        <f>IFERROR(__xludf.DUMMYFUNCTION("""COMPUTED_VALUE"""),37.0)</f>
        <v>37</v>
      </c>
      <c r="H11" s="20">
        <f>IFERROR(__xludf.DUMMYFUNCTION("""COMPUTED_VALUE"""),37.0)</f>
        <v>37</v>
      </c>
      <c r="I11" s="21">
        <f>IFERROR(__xludf.DUMMYFUNCTION("""COMPUTED_VALUE"""),1.0)</f>
        <v>1</v>
      </c>
      <c r="J11" s="20">
        <f>IFERROR(__xludf.DUMMYFUNCTION("""COMPUTED_VALUE"""),37.0)</f>
        <v>37</v>
      </c>
      <c r="K11" s="20">
        <f>IFERROR(__xludf.DUMMYFUNCTION("""COMPUTED_VALUE"""),3.0)</f>
        <v>3</v>
      </c>
      <c r="L11" s="21">
        <f>IFERROR(__xludf.DUMMYFUNCTION("""COMPUTED_VALUE"""),0.08)</f>
        <v>0.08</v>
      </c>
      <c r="M11" s="20">
        <f>IFERROR(__xludf.DUMMYFUNCTION("""COMPUTED_VALUE"""),4.0)</f>
        <v>4</v>
      </c>
      <c r="N11" s="21">
        <f>IFERROR(__xludf.DUMMYFUNCTION("""COMPUTED_VALUE"""),0.11)</f>
        <v>0.11</v>
      </c>
      <c r="O11" s="20">
        <f>IFERROR(__xludf.DUMMYFUNCTION("""COMPUTED_VALUE"""),10.0)</f>
        <v>10</v>
      </c>
      <c r="P11" s="21">
        <f>IFERROR(__xludf.DUMMYFUNCTION("""COMPUTED_VALUE"""),0.27)</f>
        <v>0.27</v>
      </c>
      <c r="Q11" s="20">
        <f>IFERROR(__xludf.DUMMYFUNCTION("""COMPUTED_VALUE"""),18.0)</f>
        <v>18</v>
      </c>
      <c r="R11" s="21">
        <f>IFERROR(__xludf.DUMMYFUNCTION("""COMPUTED_VALUE"""),0.49)</f>
        <v>0.49</v>
      </c>
      <c r="S11" s="20">
        <f>IFERROR(__xludf.DUMMYFUNCTION("""COMPUTED_VALUE"""),2.0)</f>
        <v>2</v>
      </c>
      <c r="T11" s="21">
        <f>IFERROR(__xludf.DUMMYFUNCTION("""COMPUTED_VALUE"""),0.05)</f>
        <v>0.05</v>
      </c>
      <c r="U11" s="20">
        <f>IFERROR(__xludf.DUMMYFUNCTION("""COMPUTED_VALUE"""),0.0)</f>
        <v>0</v>
      </c>
      <c r="V11" s="21">
        <f>IFERROR(__xludf.DUMMYFUNCTION("""COMPUTED_VALUE"""),0.0)</f>
        <v>0</v>
      </c>
      <c r="W11" s="20">
        <f>IFERROR(__xludf.DUMMYFUNCTION("""COMPUTED_VALUE"""),33.0)</f>
        <v>33</v>
      </c>
      <c r="X11" s="20">
        <f>IFERROR(__xludf.DUMMYFUNCTION("""COMPUTED_VALUE"""),16.0)</f>
        <v>16</v>
      </c>
      <c r="Y11" s="21">
        <f>IFERROR(__xludf.DUMMYFUNCTION("""COMPUTED_VALUE"""),0.48)</f>
        <v>0.48</v>
      </c>
      <c r="Z11" s="20">
        <f>IFERROR(__xludf.DUMMYFUNCTION("""COMPUTED_VALUE"""),37.0)</f>
        <v>37</v>
      </c>
      <c r="AA11" s="20">
        <f>IFERROR(__xludf.DUMMYFUNCTION("""COMPUTED_VALUE"""),15.0)</f>
        <v>15</v>
      </c>
      <c r="AB11" s="21">
        <f>IFERROR(__xludf.DUMMYFUNCTION("""COMPUTED_VALUE"""),0.41)</f>
        <v>0.41</v>
      </c>
    </row>
    <row r="12">
      <c r="A12" s="20">
        <f>IFERROR(__xludf.DUMMYFUNCTION("""COMPUTED_VALUE"""),1000000.0)</f>
        <v>1000000</v>
      </c>
      <c r="B12" s="20" t="str">
        <f>IFERROR(__xludf.DUMMYFUNCTION("""COMPUTED_VALUE"""),"Framingham")</f>
        <v>Framingham</v>
      </c>
      <c r="C12" s="20">
        <f>IFERROR(__xludf.DUMMYFUNCTION("""COMPUTED_VALUE"""),1000305.0)</f>
        <v>1000305</v>
      </c>
      <c r="D12" s="20" t="str">
        <f>IFERROR(__xludf.DUMMYFUNCTION("""COMPUTED_VALUE"""),"Fuller Middle")</f>
        <v>Fuller Middle</v>
      </c>
      <c r="E12" s="24">
        <f>IFERROR(__xludf.DUMMYFUNCTION("""COMPUTED_VALUE"""),44355.0)</f>
        <v>44355</v>
      </c>
      <c r="F12" s="20" t="str">
        <f>IFERROR(__xludf.DUMMYFUNCTION("""COMPUTED_VALUE"""),"All")</f>
        <v>All</v>
      </c>
      <c r="G12" s="20">
        <f>IFERROR(__xludf.DUMMYFUNCTION("""COMPUTED_VALUE"""),187.0)</f>
        <v>187</v>
      </c>
      <c r="H12" s="20">
        <f>IFERROR(__xludf.DUMMYFUNCTION("""COMPUTED_VALUE"""),187.0)</f>
        <v>187</v>
      </c>
      <c r="I12" s="21">
        <f>IFERROR(__xludf.DUMMYFUNCTION("""COMPUTED_VALUE"""),1.0)</f>
        <v>1</v>
      </c>
      <c r="J12" s="20">
        <f>IFERROR(__xludf.DUMMYFUNCTION("""COMPUTED_VALUE"""),186.0)</f>
        <v>186</v>
      </c>
      <c r="K12" s="20">
        <f>IFERROR(__xludf.DUMMYFUNCTION("""COMPUTED_VALUE"""),53.0)</f>
        <v>53</v>
      </c>
      <c r="L12" s="21">
        <f>IFERROR(__xludf.DUMMYFUNCTION("""COMPUTED_VALUE"""),0.28)</f>
        <v>0.28</v>
      </c>
      <c r="M12" s="20">
        <f>IFERROR(__xludf.DUMMYFUNCTION("""COMPUTED_VALUE"""),44.0)</f>
        <v>44</v>
      </c>
      <c r="N12" s="21">
        <f>IFERROR(__xludf.DUMMYFUNCTION("""COMPUTED_VALUE"""),0.24)</f>
        <v>0.24</v>
      </c>
      <c r="O12" s="20">
        <f>IFERROR(__xludf.DUMMYFUNCTION("""COMPUTED_VALUE"""),54.0)</f>
        <v>54</v>
      </c>
      <c r="P12" s="21">
        <f>IFERROR(__xludf.DUMMYFUNCTION("""COMPUTED_VALUE"""),0.29)</f>
        <v>0.29</v>
      </c>
      <c r="Q12" s="20">
        <f>IFERROR(__xludf.DUMMYFUNCTION("""COMPUTED_VALUE"""),27.0)</f>
        <v>27</v>
      </c>
      <c r="R12" s="21">
        <f>IFERROR(__xludf.DUMMYFUNCTION("""COMPUTED_VALUE"""),0.15)</f>
        <v>0.15</v>
      </c>
      <c r="S12" s="20">
        <f>IFERROR(__xludf.DUMMYFUNCTION("""COMPUTED_VALUE"""),7.0)</f>
        <v>7</v>
      </c>
      <c r="T12" s="21">
        <f>IFERROR(__xludf.DUMMYFUNCTION("""COMPUTED_VALUE"""),0.04)</f>
        <v>0.04</v>
      </c>
      <c r="U12" s="20">
        <f>IFERROR(__xludf.DUMMYFUNCTION("""COMPUTED_VALUE"""),1.0)</f>
        <v>1</v>
      </c>
      <c r="V12" s="21">
        <f>IFERROR(__xludf.DUMMYFUNCTION("""COMPUTED_VALUE"""),0.01)</f>
        <v>0.01</v>
      </c>
      <c r="W12" s="20">
        <f>IFERROR(__xludf.DUMMYFUNCTION("""COMPUTED_VALUE"""),122.0)</f>
        <v>122</v>
      </c>
      <c r="X12" s="20">
        <f>IFERROR(__xludf.DUMMYFUNCTION("""COMPUTED_VALUE"""),68.0)</f>
        <v>68</v>
      </c>
      <c r="Y12" s="21">
        <f>IFERROR(__xludf.DUMMYFUNCTION("""COMPUTED_VALUE"""),0.56)</f>
        <v>0.56</v>
      </c>
      <c r="Z12" s="20">
        <f>IFERROR(__xludf.DUMMYFUNCTION("""COMPUTED_VALUE"""),187.0)</f>
        <v>187</v>
      </c>
      <c r="AA12" s="20">
        <f>IFERROR(__xludf.DUMMYFUNCTION("""COMPUTED_VALUE"""),26.0)</f>
        <v>26</v>
      </c>
      <c r="AB12" s="21">
        <f>IFERROR(__xludf.DUMMYFUNCTION("""COMPUTED_VALUE"""),0.14)</f>
        <v>0.14</v>
      </c>
    </row>
    <row r="13">
      <c r="A13" s="20">
        <f>IFERROR(__xludf.DUMMYFUNCTION("""COMPUTED_VALUE"""),1000000.0)</f>
        <v>1000000</v>
      </c>
      <c r="B13" s="20" t="str">
        <f>IFERROR(__xludf.DUMMYFUNCTION("""COMPUTED_VALUE"""),"Framingham")</f>
        <v>Framingham</v>
      </c>
      <c r="C13" s="20">
        <f>IFERROR(__xludf.DUMMYFUNCTION("""COMPUTED_VALUE"""),1000310.0)</f>
        <v>1000310</v>
      </c>
      <c r="D13" s="20" t="str">
        <f>IFERROR(__xludf.DUMMYFUNCTION("""COMPUTED_VALUE"""),"Walsh Middle")</f>
        <v>Walsh Middle</v>
      </c>
      <c r="E13" s="24">
        <f>IFERROR(__xludf.DUMMYFUNCTION("""COMPUTED_VALUE"""),44355.0)</f>
        <v>44355</v>
      </c>
      <c r="F13" s="20" t="str">
        <f>IFERROR(__xludf.DUMMYFUNCTION("""COMPUTED_VALUE"""),"All")</f>
        <v>All</v>
      </c>
      <c r="G13" s="20">
        <f>IFERROR(__xludf.DUMMYFUNCTION("""COMPUTED_VALUE"""),49.0)</f>
        <v>49</v>
      </c>
      <c r="H13" s="20">
        <f>IFERROR(__xludf.DUMMYFUNCTION("""COMPUTED_VALUE"""),49.0)</f>
        <v>49</v>
      </c>
      <c r="I13" s="21">
        <f>IFERROR(__xludf.DUMMYFUNCTION("""COMPUTED_VALUE"""),1.0)</f>
        <v>1</v>
      </c>
      <c r="J13" s="20">
        <f>IFERROR(__xludf.DUMMYFUNCTION("""COMPUTED_VALUE"""),49.0)</f>
        <v>49</v>
      </c>
      <c r="K13" s="20">
        <f>IFERROR(__xludf.DUMMYFUNCTION("""COMPUTED_VALUE"""),0.0)</f>
        <v>0</v>
      </c>
      <c r="L13" s="21">
        <f>IFERROR(__xludf.DUMMYFUNCTION("""COMPUTED_VALUE"""),0.0)</f>
        <v>0</v>
      </c>
      <c r="M13" s="20">
        <f>IFERROR(__xludf.DUMMYFUNCTION("""COMPUTED_VALUE"""),3.0)</f>
        <v>3</v>
      </c>
      <c r="N13" s="21">
        <f>IFERROR(__xludf.DUMMYFUNCTION("""COMPUTED_VALUE"""),0.06)</f>
        <v>0.06</v>
      </c>
      <c r="O13" s="20">
        <f>IFERROR(__xludf.DUMMYFUNCTION("""COMPUTED_VALUE"""),21.0)</f>
        <v>21</v>
      </c>
      <c r="P13" s="21">
        <f>IFERROR(__xludf.DUMMYFUNCTION("""COMPUTED_VALUE"""),0.43)</f>
        <v>0.43</v>
      </c>
      <c r="Q13" s="20">
        <f>IFERROR(__xludf.DUMMYFUNCTION("""COMPUTED_VALUE"""),21.0)</f>
        <v>21</v>
      </c>
      <c r="R13" s="21">
        <f>IFERROR(__xludf.DUMMYFUNCTION("""COMPUTED_VALUE"""),0.43)</f>
        <v>0.43</v>
      </c>
      <c r="S13" s="20">
        <f>IFERROR(__xludf.DUMMYFUNCTION("""COMPUTED_VALUE"""),3.0)</f>
        <v>3</v>
      </c>
      <c r="T13" s="21">
        <f>IFERROR(__xludf.DUMMYFUNCTION("""COMPUTED_VALUE"""),0.06)</f>
        <v>0.06</v>
      </c>
      <c r="U13" s="20">
        <f>IFERROR(__xludf.DUMMYFUNCTION("""COMPUTED_VALUE"""),1.0)</f>
        <v>1</v>
      </c>
      <c r="V13" s="21">
        <f>IFERROR(__xludf.DUMMYFUNCTION("""COMPUTED_VALUE"""),0.02)</f>
        <v>0.02</v>
      </c>
      <c r="W13" s="20">
        <f>IFERROR(__xludf.DUMMYFUNCTION("""COMPUTED_VALUE"""),44.0)</f>
        <v>44</v>
      </c>
      <c r="X13" s="20">
        <f>IFERROR(__xludf.DUMMYFUNCTION("""COMPUTED_VALUE"""),21.0)</f>
        <v>21</v>
      </c>
      <c r="Y13" s="21">
        <f>IFERROR(__xludf.DUMMYFUNCTION("""COMPUTED_VALUE"""),0.48)</f>
        <v>0.48</v>
      </c>
      <c r="Z13" s="20">
        <f>IFERROR(__xludf.DUMMYFUNCTION("""COMPUTED_VALUE"""),49.0)</f>
        <v>49</v>
      </c>
      <c r="AA13" s="20">
        <f>IFERROR(__xludf.DUMMYFUNCTION("""COMPUTED_VALUE"""),21.0)</f>
        <v>21</v>
      </c>
      <c r="AB13" s="21">
        <f>IFERROR(__xludf.DUMMYFUNCTION("""COMPUTED_VALUE"""),0.43)</f>
        <v>0.43</v>
      </c>
    </row>
    <row r="14">
      <c r="A14" s="20">
        <f>IFERROR(__xludf.DUMMYFUNCTION("""COMPUTED_VALUE"""),1360000.0)</f>
        <v>1360000</v>
      </c>
      <c r="B14" s="20" t="str">
        <f>IFERROR(__xludf.DUMMYFUNCTION("""COMPUTED_VALUE"""),"Holliston")</f>
        <v>Holliston</v>
      </c>
      <c r="C14" s="20">
        <f>IFERROR(__xludf.DUMMYFUNCTION("""COMPUTED_VALUE"""),1360305.0)</f>
        <v>1360305</v>
      </c>
      <c r="D14" s="20" t="str">
        <f>IFERROR(__xludf.DUMMYFUNCTION("""COMPUTED_VALUE"""),"Robert H. Adams Middle School")</f>
        <v>Robert H. Adams Middle School</v>
      </c>
      <c r="E14" s="24">
        <f>IFERROR(__xludf.DUMMYFUNCTION("""COMPUTED_VALUE"""),44355.0)</f>
        <v>44355</v>
      </c>
      <c r="F14" s="20" t="str">
        <f>IFERROR(__xludf.DUMMYFUNCTION("""COMPUTED_VALUE"""),"All")</f>
        <v>All</v>
      </c>
      <c r="G14" s="20">
        <f>IFERROR(__xludf.DUMMYFUNCTION("""COMPUTED_VALUE"""),13.0)</f>
        <v>13</v>
      </c>
      <c r="H14" s="20">
        <f>IFERROR(__xludf.DUMMYFUNCTION("""COMPUTED_VALUE"""),13.0)</f>
        <v>13</v>
      </c>
      <c r="I14" s="21">
        <f>IFERROR(__xludf.DUMMYFUNCTION("""COMPUTED_VALUE"""),1.0)</f>
        <v>1</v>
      </c>
      <c r="J14" s="20">
        <f>IFERROR(__xludf.DUMMYFUNCTION("""COMPUTED_VALUE"""),13.0)</f>
        <v>13</v>
      </c>
      <c r="K14" s="20">
        <f>IFERROR(__xludf.DUMMYFUNCTION("""COMPUTED_VALUE"""),0.0)</f>
        <v>0</v>
      </c>
      <c r="L14" s="21">
        <f>IFERROR(__xludf.DUMMYFUNCTION("""COMPUTED_VALUE"""),0.0)</f>
        <v>0</v>
      </c>
      <c r="M14" s="20">
        <f>IFERROR(__xludf.DUMMYFUNCTION("""COMPUTED_VALUE"""),1.0)</f>
        <v>1</v>
      </c>
      <c r="N14" s="21">
        <f>IFERROR(__xludf.DUMMYFUNCTION("""COMPUTED_VALUE"""),0.08)</f>
        <v>0.08</v>
      </c>
      <c r="O14" s="20">
        <f>IFERROR(__xludf.DUMMYFUNCTION("""COMPUTED_VALUE"""),3.0)</f>
        <v>3</v>
      </c>
      <c r="P14" s="21">
        <f>IFERROR(__xludf.DUMMYFUNCTION("""COMPUTED_VALUE"""),0.23)</f>
        <v>0.23</v>
      </c>
      <c r="Q14" s="20">
        <f>IFERROR(__xludf.DUMMYFUNCTION("""COMPUTED_VALUE"""),5.0)</f>
        <v>5</v>
      </c>
      <c r="R14" s="21">
        <f>IFERROR(__xludf.DUMMYFUNCTION("""COMPUTED_VALUE"""),0.38)</f>
        <v>0.38</v>
      </c>
      <c r="S14" s="20">
        <f>IFERROR(__xludf.DUMMYFUNCTION("""COMPUTED_VALUE"""),4.0)</f>
        <v>4</v>
      </c>
      <c r="T14" s="21">
        <f>IFERROR(__xludf.DUMMYFUNCTION("""COMPUTED_VALUE"""),0.31)</f>
        <v>0.31</v>
      </c>
      <c r="U14" s="20">
        <f>IFERROR(__xludf.DUMMYFUNCTION("""COMPUTED_VALUE"""),0.0)</f>
        <v>0</v>
      </c>
      <c r="V14" s="21">
        <f>IFERROR(__xludf.DUMMYFUNCTION("""COMPUTED_VALUE"""),0.0)</f>
        <v>0</v>
      </c>
      <c r="W14" s="20">
        <f>IFERROR(__xludf.DUMMYFUNCTION("""COMPUTED_VALUE"""),10.0)</f>
        <v>10</v>
      </c>
      <c r="X14" s="20">
        <f>IFERROR(__xludf.DUMMYFUNCTION("""COMPUTED_VALUE"""),5.0)</f>
        <v>5</v>
      </c>
      <c r="Y14" s="21">
        <f>IFERROR(__xludf.DUMMYFUNCTION("""COMPUTED_VALUE"""),0.5)</f>
        <v>0.5</v>
      </c>
      <c r="Z14" s="20">
        <f>IFERROR(__xludf.DUMMYFUNCTION("""COMPUTED_VALUE"""),13.0)</f>
        <v>13</v>
      </c>
      <c r="AA14" s="20">
        <f>IFERROR(__xludf.DUMMYFUNCTION("""COMPUTED_VALUE"""),8.0)</f>
        <v>8</v>
      </c>
      <c r="AB14" s="21">
        <f>IFERROR(__xludf.DUMMYFUNCTION("""COMPUTED_VALUE"""),0.62)</f>
        <v>0.62</v>
      </c>
    </row>
    <row r="15">
      <c r="A15" s="20">
        <f>IFERROR(__xludf.DUMMYFUNCTION("""COMPUTED_VALUE"""),2740000.0)</f>
        <v>2740000</v>
      </c>
      <c r="B15" s="20" t="str">
        <f>IFERROR(__xludf.DUMMYFUNCTION("""COMPUTED_VALUE"""),"Somerville")</f>
        <v>Somerville</v>
      </c>
      <c r="C15" s="20">
        <f>IFERROR(__xludf.DUMMYFUNCTION("""COMPUTED_VALUE"""),2740111.0)</f>
        <v>2740111</v>
      </c>
      <c r="D15" s="20" t="str">
        <f>IFERROR(__xludf.DUMMYFUNCTION("""COMPUTED_VALUE"""),"E Somerville Community")</f>
        <v>E Somerville Community</v>
      </c>
      <c r="E15" s="24">
        <f>IFERROR(__xludf.DUMMYFUNCTION("""COMPUTED_VALUE"""),44355.0)</f>
        <v>44355</v>
      </c>
      <c r="F15" s="20" t="str">
        <f>IFERROR(__xludf.DUMMYFUNCTION("""COMPUTED_VALUE"""),"All")</f>
        <v>All</v>
      </c>
      <c r="G15" s="20">
        <f>IFERROR(__xludf.DUMMYFUNCTION("""COMPUTED_VALUE"""),36.0)</f>
        <v>36</v>
      </c>
      <c r="H15" s="20">
        <f>IFERROR(__xludf.DUMMYFUNCTION("""COMPUTED_VALUE"""),36.0)</f>
        <v>36</v>
      </c>
      <c r="I15" s="21">
        <f>IFERROR(__xludf.DUMMYFUNCTION("""COMPUTED_VALUE"""),1.0)</f>
        <v>1</v>
      </c>
      <c r="J15" s="20">
        <f>IFERROR(__xludf.DUMMYFUNCTION("""COMPUTED_VALUE"""),36.0)</f>
        <v>36</v>
      </c>
      <c r="K15" s="20">
        <f>IFERROR(__xludf.DUMMYFUNCTION("""COMPUTED_VALUE"""),1.0)</f>
        <v>1</v>
      </c>
      <c r="L15" s="21">
        <f>IFERROR(__xludf.DUMMYFUNCTION("""COMPUTED_VALUE"""),0.03)</f>
        <v>0.03</v>
      </c>
      <c r="M15" s="20">
        <f>IFERROR(__xludf.DUMMYFUNCTION("""COMPUTED_VALUE"""),11.0)</f>
        <v>11</v>
      </c>
      <c r="N15" s="21">
        <f>IFERROR(__xludf.DUMMYFUNCTION("""COMPUTED_VALUE"""),0.31)</f>
        <v>0.31</v>
      </c>
      <c r="O15" s="20">
        <f>IFERROR(__xludf.DUMMYFUNCTION("""COMPUTED_VALUE"""),19.0)</f>
        <v>19</v>
      </c>
      <c r="P15" s="21">
        <f>IFERROR(__xludf.DUMMYFUNCTION("""COMPUTED_VALUE"""),0.53)</f>
        <v>0.53</v>
      </c>
      <c r="Q15" s="20">
        <f>IFERROR(__xludf.DUMMYFUNCTION("""COMPUTED_VALUE"""),5.0)</f>
        <v>5</v>
      </c>
      <c r="R15" s="21">
        <f>IFERROR(__xludf.DUMMYFUNCTION("""COMPUTED_VALUE"""),0.14)</f>
        <v>0.14</v>
      </c>
      <c r="S15" s="20">
        <f>IFERROR(__xludf.DUMMYFUNCTION("""COMPUTED_VALUE"""),0.0)</f>
        <v>0</v>
      </c>
      <c r="T15" s="21">
        <f>IFERROR(__xludf.DUMMYFUNCTION("""COMPUTED_VALUE"""),0.0)</f>
        <v>0</v>
      </c>
      <c r="U15" s="20">
        <f>IFERROR(__xludf.DUMMYFUNCTION("""COMPUTED_VALUE"""),0.0)</f>
        <v>0</v>
      </c>
      <c r="V15" s="21">
        <f>IFERROR(__xludf.DUMMYFUNCTION("""COMPUTED_VALUE"""),0.0)</f>
        <v>0</v>
      </c>
      <c r="W15" s="20">
        <f>IFERROR(__xludf.DUMMYFUNCTION("""COMPUTED_VALUE"""),36.0)</f>
        <v>36</v>
      </c>
      <c r="X15" s="20">
        <f>IFERROR(__xludf.DUMMYFUNCTION("""COMPUTED_VALUE"""),3.0)</f>
        <v>3</v>
      </c>
      <c r="Y15" s="21">
        <f>IFERROR(__xludf.DUMMYFUNCTION("""COMPUTED_VALUE"""),0.08)</f>
        <v>0.08</v>
      </c>
      <c r="Z15" s="20">
        <f>IFERROR(__xludf.DUMMYFUNCTION("""COMPUTED_VALUE"""),36.0)</f>
        <v>36</v>
      </c>
      <c r="AA15" s="20">
        <f>IFERROR(__xludf.DUMMYFUNCTION("""COMPUTED_VALUE"""),2.0)</f>
        <v>2</v>
      </c>
      <c r="AB15" s="21">
        <f>IFERROR(__xludf.DUMMYFUNCTION("""COMPUTED_VALUE"""),0.06)</f>
        <v>0.06</v>
      </c>
    </row>
    <row r="16">
      <c r="A16" s="20">
        <f>IFERROR(__xludf.DUMMYFUNCTION("""COMPUTED_VALUE"""),3480000.0)</f>
        <v>3480000</v>
      </c>
      <c r="B16" s="20" t="str">
        <f>IFERROR(__xludf.DUMMYFUNCTION("""COMPUTED_VALUE"""),"Worcester")</f>
        <v>Worcester</v>
      </c>
      <c r="C16" s="20">
        <f>IFERROR(__xludf.DUMMYFUNCTION("""COMPUTED_VALUE"""),3480030.0)</f>
        <v>3480030</v>
      </c>
      <c r="D16" s="20" t="str">
        <f>IFERROR(__xludf.DUMMYFUNCTION("""COMPUTED_VALUE"""),"Woodland Academy")</f>
        <v>Woodland Academy</v>
      </c>
      <c r="E16" s="24">
        <f>IFERROR(__xludf.DUMMYFUNCTION("""COMPUTED_VALUE"""),44355.0)</f>
        <v>44355</v>
      </c>
      <c r="F16" s="20" t="str">
        <f>IFERROR(__xludf.DUMMYFUNCTION("""COMPUTED_VALUE"""),"All")</f>
        <v>All</v>
      </c>
      <c r="G16" s="20">
        <f>IFERROR(__xludf.DUMMYFUNCTION("""COMPUTED_VALUE"""),35.0)</f>
        <v>35</v>
      </c>
      <c r="H16" s="20">
        <f>IFERROR(__xludf.DUMMYFUNCTION("""COMPUTED_VALUE"""),35.0)</f>
        <v>35</v>
      </c>
      <c r="I16" s="21">
        <f>IFERROR(__xludf.DUMMYFUNCTION("""COMPUTED_VALUE"""),1.0)</f>
        <v>1</v>
      </c>
      <c r="J16" s="20">
        <f>IFERROR(__xludf.DUMMYFUNCTION("""COMPUTED_VALUE"""),35.0)</f>
        <v>35</v>
      </c>
      <c r="K16" s="20">
        <f>IFERROR(__xludf.DUMMYFUNCTION("""COMPUTED_VALUE"""),0.0)</f>
        <v>0</v>
      </c>
      <c r="L16" s="21">
        <f>IFERROR(__xludf.DUMMYFUNCTION("""COMPUTED_VALUE"""),0.0)</f>
        <v>0</v>
      </c>
      <c r="M16" s="20">
        <f>IFERROR(__xludf.DUMMYFUNCTION("""COMPUTED_VALUE"""),11.0)</f>
        <v>11</v>
      </c>
      <c r="N16" s="21">
        <f>IFERROR(__xludf.DUMMYFUNCTION("""COMPUTED_VALUE"""),0.31)</f>
        <v>0.31</v>
      </c>
      <c r="O16" s="20">
        <f>IFERROR(__xludf.DUMMYFUNCTION("""COMPUTED_VALUE"""),13.0)</f>
        <v>13</v>
      </c>
      <c r="P16" s="21">
        <f>IFERROR(__xludf.DUMMYFUNCTION("""COMPUTED_VALUE"""),0.37)</f>
        <v>0.37</v>
      </c>
      <c r="Q16" s="20">
        <f>IFERROR(__xludf.DUMMYFUNCTION("""COMPUTED_VALUE"""),11.0)</f>
        <v>11</v>
      </c>
      <c r="R16" s="21">
        <f>IFERROR(__xludf.DUMMYFUNCTION("""COMPUTED_VALUE"""),0.31)</f>
        <v>0.31</v>
      </c>
      <c r="S16" s="20">
        <f>IFERROR(__xludf.DUMMYFUNCTION("""COMPUTED_VALUE"""),0.0)</f>
        <v>0</v>
      </c>
      <c r="T16" s="21">
        <f>IFERROR(__xludf.DUMMYFUNCTION("""COMPUTED_VALUE"""),0.0)</f>
        <v>0</v>
      </c>
      <c r="U16" s="20">
        <f>IFERROR(__xludf.DUMMYFUNCTION("""COMPUTED_VALUE"""),0.0)</f>
        <v>0</v>
      </c>
      <c r="V16" s="21">
        <f>IFERROR(__xludf.DUMMYFUNCTION("""COMPUTED_VALUE"""),0.0)</f>
        <v>0</v>
      </c>
      <c r="W16" s="20">
        <f>IFERROR(__xludf.DUMMYFUNCTION("""COMPUTED_VALUE"""),31.0)</f>
        <v>31</v>
      </c>
      <c r="X16" s="20">
        <f>IFERROR(__xludf.DUMMYFUNCTION("""COMPUTED_VALUE"""),14.0)</f>
        <v>14</v>
      </c>
      <c r="Y16" s="21">
        <f>IFERROR(__xludf.DUMMYFUNCTION("""COMPUTED_VALUE"""),0.45)</f>
        <v>0.45</v>
      </c>
      <c r="Z16" s="20">
        <f>IFERROR(__xludf.DUMMYFUNCTION("""COMPUTED_VALUE"""),35.0)</f>
        <v>35</v>
      </c>
      <c r="AA16" s="20">
        <f>IFERROR(__xludf.DUMMYFUNCTION("""COMPUTED_VALUE"""),6.0)</f>
        <v>6</v>
      </c>
      <c r="AB16" s="21">
        <f>IFERROR(__xludf.DUMMYFUNCTION("""COMPUTED_VALUE"""),0.17)</f>
        <v>0.17</v>
      </c>
    </row>
    <row r="17">
      <c r="A17" s="20">
        <f>IFERROR(__xludf.DUMMYFUNCTION("""COMPUTED_VALUE"""),3480000.0)</f>
        <v>3480000</v>
      </c>
      <c r="B17" s="20" t="str">
        <f>IFERROR(__xludf.DUMMYFUNCTION("""COMPUTED_VALUE"""),"Worcester")</f>
        <v>Worcester</v>
      </c>
      <c r="C17" s="20">
        <f>IFERROR(__xludf.DUMMYFUNCTION("""COMPUTED_VALUE"""),3480052.0)</f>
        <v>3480052</v>
      </c>
      <c r="D17" s="20" t="str">
        <f>IFERROR(__xludf.DUMMYFUNCTION("""COMPUTED_VALUE"""),"Chandler Magnet")</f>
        <v>Chandler Magnet</v>
      </c>
      <c r="E17" s="24">
        <f>IFERROR(__xludf.DUMMYFUNCTION("""COMPUTED_VALUE"""),44355.0)</f>
        <v>44355</v>
      </c>
      <c r="F17" s="20" t="str">
        <f>IFERROR(__xludf.DUMMYFUNCTION("""COMPUTED_VALUE"""),"All")</f>
        <v>All</v>
      </c>
      <c r="G17" s="20">
        <f>IFERROR(__xludf.DUMMYFUNCTION("""COMPUTED_VALUE"""),29.0)</f>
        <v>29</v>
      </c>
      <c r="H17" s="20">
        <f>IFERROR(__xludf.DUMMYFUNCTION("""COMPUTED_VALUE"""),28.0)</f>
        <v>28</v>
      </c>
      <c r="I17" s="21">
        <f>IFERROR(__xludf.DUMMYFUNCTION("""COMPUTED_VALUE"""),0.97)</f>
        <v>0.97</v>
      </c>
      <c r="J17" s="20">
        <f>IFERROR(__xludf.DUMMYFUNCTION("""COMPUTED_VALUE"""),28.0)</f>
        <v>28</v>
      </c>
      <c r="K17" s="20">
        <f>IFERROR(__xludf.DUMMYFUNCTION("""COMPUTED_VALUE"""),13.0)</f>
        <v>13</v>
      </c>
      <c r="L17" s="21">
        <f>IFERROR(__xludf.DUMMYFUNCTION("""COMPUTED_VALUE"""),0.46)</f>
        <v>0.46</v>
      </c>
      <c r="M17" s="20">
        <f>IFERROR(__xludf.DUMMYFUNCTION("""COMPUTED_VALUE"""),7.0)</f>
        <v>7</v>
      </c>
      <c r="N17" s="21">
        <f>IFERROR(__xludf.DUMMYFUNCTION("""COMPUTED_VALUE"""),0.25)</f>
        <v>0.25</v>
      </c>
      <c r="O17" s="20">
        <f>IFERROR(__xludf.DUMMYFUNCTION("""COMPUTED_VALUE"""),7.0)</f>
        <v>7</v>
      </c>
      <c r="P17" s="21">
        <f>IFERROR(__xludf.DUMMYFUNCTION("""COMPUTED_VALUE"""),0.25)</f>
        <v>0.25</v>
      </c>
      <c r="Q17" s="20">
        <f>IFERROR(__xludf.DUMMYFUNCTION("""COMPUTED_VALUE"""),1.0)</f>
        <v>1</v>
      </c>
      <c r="R17" s="21">
        <f>IFERROR(__xludf.DUMMYFUNCTION("""COMPUTED_VALUE"""),0.04)</f>
        <v>0.04</v>
      </c>
      <c r="S17" s="20">
        <f>IFERROR(__xludf.DUMMYFUNCTION("""COMPUTED_VALUE"""),0.0)</f>
        <v>0</v>
      </c>
      <c r="T17" s="21">
        <f>IFERROR(__xludf.DUMMYFUNCTION("""COMPUTED_VALUE"""),0.0)</f>
        <v>0</v>
      </c>
      <c r="U17" s="20">
        <f>IFERROR(__xludf.DUMMYFUNCTION("""COMPUTED_VALUE"""),0.0)</f>
        <v>0</v>
      </c>
      <c r="V17" s="21">
        <f>IFERROR(__xludf.DUMMYFUNCTION("""COMPUTED_VALUE"""),0.0)</f>
        <v>0</v>
      </c>
      <c r="W17" s="20">
        <f>IFERROR(__xludf.DUMMYFUNCTION("""COMPUTED_VALUE"""),19.0)</f>
        <v>19</v>
      </c>
      <c r="X17" s="20">
        <f>IFERROR(__xludf.DUMMYFUNCTION("""COMPUTED_VALUE"""),3.0)</f>
        <v>3</v>
      </c>
      <c r="Y17" s="21">
        <f>IFERROR(__xludf.DUMMYFUNCTION("""COMPUTED_VALUE"""),0.16)</f>
        <v>0.16</v>
      </c>
      <c r="Z17" s="20">
        <f>IFERROR(__xludf.DUMMYFUNCTION("""COMPUTED_VALUE"""),29.0)</f>
        <v>29</v>
      </c>
      <c r="AA17" s="20">
        <f>IFERROR(__xludf.DUMMYFUNCTION("""COMPUTED_VALUE"""),0.0)</f>
        <v>0</v>
      </c>
      <c r="AB17" s="21">
        <f>IFERROR(__xludf.DUMMYFUNCTION("""COMPUTED_VALUE"""),0.0)</f>
        <v>0</v>
      </c>
    </row>
    <row r="18">
      <c r="A18" s="20">
        <f>IFERROR(__xludf.DUMMYFUNCTION("""COMPUTED_VALUE"""),3480000.0)</f>
        <v>3480000</v>
      </c>
      <c r="B18" s="20" t="str">
        <f>IFERROR(__xludf.DUMMYFUNCTION("""COMPUTED_VALUE"""),"Worcester")</f>
        <v>Worcester</v>
      </c>
      <c r="C18" s="20">
        <f>IFERROR(__xludf.DUMMYFUNCTION("""COMPUTED_VALUE"""),3480405.0)</f>
        <v>3480405</v>
      </c>
      <c r="D18" s="20" t="str">
        <f>IFERROR(__xludf.DUMMYFUNCTION("""COMPUTED_VALUE"""),"Burncoat Middle School")</f>
        <v>Burncoat Middle School</v>
      </c>
      <c r="E18" s="24">
        <f>IFERROR(__xludf.DUMMYFUNCTION("""COMPUTED_VALUE"""),44355.0)</f>
        <v>44355</v>
      </c>
      <c r="F18" s="20" t="str">
        <f>IFERROR(__xludf.DUMMYFUNCTION("""COMPUTED_VALUE"""),"All")</f>
        <v>All</v>
      </c>
      <c r="G18" s="20">
        <f>IFERROR(__xludf.DUMMYFUNCTION("""COMPUTED_VALUE"""),125.0)</f>
        <v>125</v>
      </c>
      <c r="H18" s="20">
        <f>IFERROR(__xludf.DUMMYFUNCTION("""COMPUTED_VALUE"""),123.0)</f>
        <v>123</v>
      </c>
      <c r="I18" s="21">
        <f>IFERROR(__xludf.DUMMYFUNCTION("""COMPUTED_VALUE"""),0.98)</f>
        <v>0.98</v>
      </c>
      <c r="J18" s="20">
        <f>IFERROR(__xludf.DUMMYFUNCTION("""COMPUTED_VALUE"""),120.0)</f>
        <v>120</v>
      </c>
      <c r="K18" s="20">
        <f>IFERROR(__xludf.DUMMYFUNCTION("""COMPUTED_VALUE"""),20.0)</f>
        <v>20</v>
      </c>
      <c r="L18" s="21">
        <f>IFERROR(__xludf.DUMMYFUNCTION("""COMPUTED_VALUE"""),0.17)</f>
        <v>0.17</v>
      </c>
      <c r="M18" s="20">
        <f>IFERROR(__xludf.DUMMYFUNCTION("""COMPUTED_VALUE"""),31.0)</f>
        <v>31</v>
      </c>
      <c r="N18" s="21">
        <f>IFERROR(__xludf.DUMMYFUNCTION("""COMPUTED_VALUE"""),0.26)</f>
        <v>0.26</v>
      </c>
      <c r="O18" s="20">
        <f>IFERROR(__xludf.DUMMYFUNCTION("""COMPUTED_VALUE"""),51.0)</f>
        <v>51</v>
      </c>
      <c r="P18" s="21">
        <f>IFERROR(__xludf.DUMMYFUNCTION("""COMPUTED_VALUE"""),0.43)</f>
        <v>0.43</v>
      </c>
      <c r="Q18" s="20">
        <f>IFERROR(__xludf.DUMMYFUNCTION("""COMPUTED_VALUE"""),17.0)</f>
        <v>17</v>
      </c>
      <c r="R18" s="21">
        <f>IFERROR(__xludf.DUMMYFUNCTION("""COMPUTED_VALUE"""),0.14)</f>
        <v>0.14</v>
      </c>
      <c r="S18" s="20">
        <f>IFERROR(__xludf.DUMMYFUNCTION("""COMPUTED_VALUE"""),1.0)</f>
        <v>1</v>
      </c>
      <c r="T18" s="21">
        <f>IFERROR(__xludf.DUMMYFUNCTION("""COMPUTED_VALUE"""),0.01)</f>
        <v>0.01</v>
      </c>
      <c r="U18" s="20">
        <f>IFERROR(__xludf.DUMMYFUNCTION("""COMPUTED_VALUE"""),0.0)</f>
        <v>0</v>
      </c>
      <c r="V18" s="21">
        <f>IFERROR(__xludf.DUMMYFUNCTION("""COMPUTED_VALUE"""),0.0)</f>
        <v>0</v>
      </c>
      <c r="W18" s="20">
        <f>IFERROR(__xludf.DUMMYFUNCTION("""COMPUTED_VALUE"""),111.0)</f>
        <v>111</v>
      </c>
      <c r="X18" s="20">
        <f>IFERROR(__xludf.DUMMYFUNCTION("""COMPUTED_VALUE"""),18.0)</f>
        <v>18</v>
      </c>
      <c r="Y18" s="21">
        <f>IFERROR(__xludf.DUMMYFUNCTION("""COMPUTED_VALUE"""),0.16)</f>
        <v>0.16</v>
      </c>
      <c r="Z18" s="20">
        <f>IFERROR(__xludf.DUMMYFUNCTION("""COMPUTED_VALUE"""),125.0)</f>
        <v>125</v>
      </c>
      <c r="AA18" s="20">
        <f>IFERROR(__xludf.DUMMYFUNCTION("""COMPUTED_VALUE"""),10.0)</f>
        <v>10</v>
      </c>
      <c r="AB18" s="21">
        <f>IFERROR(__xludf.DUMMYFUNCTION("""COMPUTED_VALUE"""),0.08)</f>
        <v>0.08</v>
      </c>
    </row>
    <row r="19">
      <c r="L19" s="22">
        <f>AVERAGE(L8:L18)</f>
        <v>0.1118181818</v>
      </c>
      <c r="N19" s="22">
        <f>AVERAGE(N8:N18)</f>
        <v>0.1918181818</v>
      </c>
      <c r="P19" s="22">
        <f>AVERAGE(P8:P18)</f>
        <v>0.3545454545</v>
      </c>
      <c r="R19" s="22">
        <f>AVERAGE(R8:R18)</f>
        <v>0.2881818182</v>
      </c>
      <c r="T19" s="22">
        <f>AVERAGE(T8:T18)</f>
        <v>0.05363636364</v>
      </c>
      <c r="V19" s="22">
        <f>AVERAGE(V8:V18)</f>
        <v>0.002727272727</v>
      </c>
    </row>
    <row r="21">
      <c r="L21" s="22">
        <f>MEDIAN(L8:L18)</f>
        <v>0.08</v>
      </c>
      <c r="N21" s="22">
        <f>MEDIAN(N8:N18)</f>
        <v>0.24</v>
      </c>
      <c r="P21" s="22">
        <f>MEDIAN(P8:P18)</f>
        <v>0.35</v>
      </c>
      <c r="R21" s="22">
        <f>MEDIAN(R8:R18)</f>
        <v>0.31</v>
      </c>
      <c r="T21" s="22">
        <f>MEDIAN(T8:T18)</f>
        <v>0.04</v>
      </c>
      <c r="V21" s="22">
        <f>MEDIAN(V8:V18)</f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3.29"/>
    <col customWidth="1" min="6" max="6" width="18.43"/>
    <col customWidth="1" min="8" max="8" width="22.86"/>
    <col customWidth="1" min="9" max="9" width="16.71"/>
    <col customWidth="1" min="23" max="23" width="20.14"/>
    <col customWidth="1" min="24" max="24" width="17.0"/>
    <col customWidth="1" min="25" max="25" width="17.57"/>
    <col customWidth="1" min="26" max="26" width="29.86"/>
    <col customWidth="1" min="27" max="27" width="19.71"/>
    <col customWidth="1" min="28" max="28" width="20.29"/>
  </cols>
  <sheetData>
    <row r="3">
      <c r="B3" s="19" t="s">
        <v>90</v>
      </c>
      <c r="C3" s="10">
        <v>44451.0</v>
      </c>
    </row>
    <row r="7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3" t="s">
        <v>8</v>
      </c>
      <c r="J7" s="3" t="s">
        <v>9</v>
      </c>
      <c r="K7" s="2" t="s">
        <v>10</v>
      </c>
      <c r="L7" s="4" t="s">
        <v>11</v>
      </c>
      <c r="M7" s="2" t="s">
        <v>12</v>
      </c>
      <c r="N7" s="4" t="s">
        <v>13</v>
      </c>
      <c r="O7" s="2" t="s">
        <v>14</v>
      </c>
      <c r="P7" s="4" t="s">
        <v>15</v>
      </c>
      <c r="Q7" s="2" t="s">
        <v>16</v>
      </c>
      <c r="R7" s="4" t="s">
        <v>17</v>
      </c>
      <c r="S7" s="2" t="s">
        <v>18</v>
      </c>
      <c r="T7" s="4" t="s">
        <v>19</v>
      </c>
      <c r="U7" s="2" t="s">
        <v>20</v>
      </c>
      <c r="V7" s="4" t="s">
        <v>21</v>
      </c>
      <c r="W7" s="2" t="s">
        <v>22</v>
      </c>
      <c r="X7" s="5" t="s">
        <v>23</v>
      </c>
      <c r="Y7" s="6" t="s">
        <v>24</v>
      </c>
      <c r="Z7" s="5" t="s">
        <v>25</v>
      </c>
      <c r="AA7" s="7" t="s">
        <v>26</v>
      </c>
      <c r="AB7" s="8" t="s">
        <v>27</v>
      </c>
    </row>
    <row r="8">
      <c r="A8" s="25">
        <f>IFERROR(__xludf.DUMMYFUNCTION("FILTER('ACCESS DLTB'!A2:AB3061,'ACCESS DLTB'!E2:E3061=C3)"),350000.0)</f>
        <v>350000</v>
      </c>
      <c r="B8" s="20" t="str">
        <f>IFERROR(__xludf.DUMMYFUNCTION("""COMPUTED_VALUE"""),"Boston")</f>
        <v>Boston</v>
      </c>
      <c r="C8" s="20">
        <f>IFERROR(__xludf.DUMMYFUNCTION("""COMPUTED_VALUE"""),350549.0)</f>
        <v>350549</v>
      </c>
      <c r="D8" s="20" t="str">
        <f>IFERROR(__xludf.DUMMYFUNCTION("""COMPUTED_VALUE"""),"Margarita Muniz Academy")</f>
        <v>Margarita Muniz Academy</v>
      </c>
      <c r="E8" s="24">
        <f>IFERROR(__xludf.DUMMYFUNCTION("""COMPUTED_VALUE"""),44451.0)</f>
        <v>44451</v>
      </c>
      <c r="F8" s="20" t="str">
        <f>IFERROR(__xludf.DUMMYFUNCTION("""COMPUTED_VALUE"""),"All")</f>
        <v>All</v>
      </c>
      <c r="G8" s="20">
        <f>IFERROR(__xludf.DUMMYFUNCTION("""COMPUTED_VALUE"""),153.0)</f>
        <v>153</v>
      </c>
      <c r="H8" s="20">
        <f>IFERROR(__xludf.DUMMYFUNCTION("""COMPUTED_VALUE"""),148.0)</f>
        <v>148</v>
      </c>
      <c r="I8" s="21">
        <f>IFERROR(__xludf.DUMMYFUNCTION("""COMPUTED_VALUE"""),0.97)</f>
        <v>0.97</v>
      </c>
      <c r="J8" s="20">
        <f>IFERROR(__xludf.DUMMYFUNCTION("""COMPUTED_VALUE"""),148.0)</f>
        <v>148</v>
      </c>
      <c r="K8" s="20">
        <f>IFERROR(__xludf.DUMMYFUNCTION("""COMPUTED_VALUE"""),16.0)</f>
        <v>16</v>
      </c>
      <c r="L8" s="21">
        <f>IFERROR(__xludf.DUMMYFUNCTION("""COMPUTED_VALUE"""),0.11)</f>
        <v>0.11</v>
      </c>
      <c r="M8" s="20">
        <f>IFERROR(__xludf.DUMMYFUNCTION("""COMPUTED_VALUE"""),29.0)</f>
        <v>29</v>
      </c>
      <c r="N8" s="21">
        <f>IFERROR(__xludf.DUMMYFUNCTION("""COMPUTED_VALUE"""),0.2)</f>
        <v>0.2</v>
      </c>
      <c r="O8" s="20">
        <f>IFERROR(__xludf.DUMMYFUNCTION("""COMPUTED_VALUE"""),76.0)</f>
        <v>76</v>
      </c>
      <c r="P8" s="21">
        <f>IFERROR(__xludf.DUMMYFUNCTION("""COMPUTED_VALUE"""),0.51)</f>
        <v>0.51</v>
      </c>
      <c r="Q8" s="20">
        <f>IFERROR(__xludf.DUMMYFUNCTION("""COMPUTED_VALUE"""),24.0)</f>
        <v>24</v>
      </c>
      <c r="R8" s="21">
        <f>IFERROR(__xludf.DUMMYFUNCTION("""COMPUTED_VALUE"""),0.16)</f>
        <v>0.16</v>
      </c>
      <c r="S8" s="20">
        <f>IFERROR(__xludf.DUMMYFUNCTION("""COMPUTED_VALUE"""),3.0)</f>
        <v>3</v>
      </c>
      <c r="T8" s="21">
        <f>IFERROR(__xludf.DUMMYFUNCTION("""COMPUTED_VALUE"""),0.02)</f>
        <v>0.02</v>
      </c>
      <c r="U8" s="20">
        <f>IFERROR(__xludf.DUMMYFUNCTION("""COMPUTED_VALUE"""),0.0)</f>
        <v>0</v>
      </c>
      <c r="V8" s="21">
        <f>IFERROR(__xludf.DUMMYFUNCTION("""COMPUTED_VALUE"""),0.0)</f>
        <v>0</v>
      </c>
      <c r="W8" s="20">
        <f>IFERROR(__xludf.DUMMYFUNCTION("""COMPUTED_VALUE"""),143.0)</f>
        <v>143</v>
      </c>
      <c r="X8" s="20">
        <f>IFERROR(__xludf.DUMMYFUNCTION("""COMPUTED_VALUE"""),36.0)</f>
        <v>36</v>
      </c>
      <c r="Y8" s="21">
        <f>IFERROR(__xludf.DUMMYFUNCTION("""COMPUTED_VALUE"""),0.25)</f>
        <v>0.25</v>
      </c>
      <c r="Z8" s="20">
        <f>IFERROR(__xludf.DUMMYFUNCTION("""COMPUTED_VALUE"""),153.0)</f>
        <v>153</v>
      </c>
      <c r="AA8" s="20">
        <f>IFERROR(__xludf.DUMMYFUNCTION("""COMPUTED_VALUE"""),18.0)</f>
        <v>18</v>
      </c>
      <c r="AB8" s="21">
        <f>IFERROR(__xludf.DUMMYFUNCTION("""COMPUTED_VALUE"""),0.12)</f>
        <v>0.12</v>
      </c>
    </row>
    <row r="9">
      <c r="A9" s="20">
        <f>IFERROR(__xludf.DUMMYFUNCTION("""COMPUTED_VALUE"""),440000.0)</f>
        <v>440000</v>
      </c>
      <c r="B9" s="20" t="str">
        <f>IFERROR(__xludf.DUMMYFUNCTION("""COMPUTED_VALUE"""),"Brockton")</f>
        <v>Brockton</v>
      </c>
      <c r="C9" s="20">
        <f>IFERROR(__xludf.DUMMYFUNCTION("""COMPUTED_VALUE"""),440505.0)</f>
        <v>440505</v>
      </c>
      <c r="D9" s="20" t="str">
        <f>IFERROR(__xludf.DUMMYFUNCTION("""COMPUTED_VALUE"""),"Brockton High")</f>
        <v>Brockton High</v>
      </c>
      <c r="E9" s="24">
        <f>IFERROR(__xludf.DUMMYFUNCTION("""COMPUTED_VALUE"""),44451.0)</f>
        <v>44451</v>
      </c>
      <c r="F9" s="20" t="str">
        <f>IFERROR(__xludf.DUMMYFUNCTION("""COMPUTED_VALUE"""),"All")</f>
        <v>All</v>
      </c>
      <c r="G9" s="20">
        <f>IFERROR(__xludf.DUMMYFUNCTION("""COMPUTED_VALUE"""),944.0)</f>
        <v>944</v>
      </c>
      <c r="H9" s="20">
        <f>IFERROR(__xludf.DUMMYFUNCTION("""COMPUTED_VALUE"""),871.0)</f>
        <v>871</v>
      </c>
      <c r="I9" s="21">
        <f>IFERROR(__xludf.DUMMYFUNCTION("""COMPUTED_VALUE"""),0.92)</f>
        <v>0.92</v>
      </c>
      <c r="J9" s="20">
        <f>IFERROR(__xludf.DUMMYFUNCTION("""COMPUTED_VALUE"""),836.0)</f>
        <v>836</v>
      </c>
      <c r="K9" s="20">
        <f>IFERROR(__xludf.DUMMYFUNCTION("""COMPUTED_VALUE"""),73.0)</f>
        <v>73</v>
      </c>
      <c r="L9" s="21">
        <f>IFERROR(__xludf.DUMMYFUNCTION("""COMPUTED_VALUE"""),0.09)</f>
        <v>0.09</v>
      </c>
      <c r="M9" s="20">
        <f>IFERROR(__xludf.DUMMYFUNCTION("""COMPUTED_VALUE"""),217.0)</f>
        <v>217</v>
      </c>
      <c r="N9" s="21">
        <f>IFERROR(__xludf.DUMMYFUNCTION("""COMPUTED_VALUE"""),0.26)</f>
        <v>0.26</v>
      </c>
      <c r="O9" s="20">
        <f>IFERROR(__xludf.DUMMYFUNCTION("""COMPUTED_VALUE"""),366.0)</f>
        <v>366</v>
      </c>
      <c r="P9" s="21">
        <f>IFERROR(__xludf.DUMMYFUNCTION("""COMPUTED_VALUE"""),0.44)</f>
        <v>0.44</v>
      </c>
      <c r="Q9" s="20">
        <f>IFERROR(__xludf.DUMMYFUNCTION("""COMPUTED_VALUE"""),162.0)</f>
        <v>162</v>
      </c>
      <c r="R9" s="21">
        <f>IFERROR(__xludf.DUMMYFUNCTION("""COMPUTED_VALUE"""),0.19)</f>
        <v>0.19</v>
      </c>
      <c r="S9" s="20">
        <f>IFERROR(__xludf.DUMMYFUNCTION("""COMPUTED_VALUE"""),17.0)</f>
        <v>17</v>
      </c>
      <c r="T9" s="21">
        <f>IFERROR(__xludf.DUMMYFUNCTION("""COMPUTED_VALUE"""),0.02)</f>
        <v>0.02</v>
      </c>
      <c r="U9" s="20">
        <f>IFERROR(__xludf.DUMMYFUNCTION("""COMPUTED_VALUE"""),1.0)</f>
        <v>1</v>
      </c>
      <c r="V9" s="21">
        <f>IFERROR(__xludf.DUMMYFUNCTION("""COMPUTED_VALUE"""),0.0)</f>
        <v>0</v>
      </c>
      <c r="W9" s="20">
        <f>IFERROR(__xludf.DUMMYFUNCTION("""COMPUTED_VALUE"""),743.0)</f>
        <v>743</v>
      </c>
      <c r="X9" s="20">
        <f>IFERROR(__xludf.DUMMYFUNCTION("""COMPUTED_VALUE"""),216.0)</f>
        <v>216</v>
      </c>
      <c r="Y9" s="21">
        <f>IFERROR(__xludf.DUMMYFUNCTION("""COMPUTED_VALUE"""),0.29)</f>
        <v>0.29</v>
      </c>
      <c r="Z9" s="20">
        <f>IFERROR(__xludf.DUMMYFUNCTION("""COMPUTED_VALUE"""),944.0)</f>
        <v>944</v>
      </c>
      <c r="AA9" s="20">
        <f>IFERROR(__xludf.DUMMYFUNCTION("""COMPUTED_VALUE"""),131.0)</f>
        <v>131</v>
      </c>
      <c r="AB9" s="21">
        <f>IFERROR(__xludf.DUMMYFUNCTION("""COMPUTED_VALUE"""),0.14)</f>
        <v>0.14</v>
      </c>
    </row>
    <row r="10">
      <c r="A10" s="20">
        <f>IFERROR(__xludf.DUMMYFUNCTION("""COMPUTED_VALUE"""),1000000.0)</f>
        <v>1000000</v>
      </c>
      <c r="B10" s="20" t="str">
        <f>IFERROR(__xludf.DUMMYFUNCTION("""COMPUTED_VALUE"""),"Framingham")</f>
        <v>Framingham</v>
      </c>
      <c r="C10" s="20">
        <f>IFERROR(__xludf.DUMMYFUNCTION("""COMPUTED_VALUE"""),1000515.0)</f>
        <v>1000515</v>
      </c>
      <c r="D10" s="20" t="str">
        <f>IFERROR(__xludf.DUMMYFUNCTION("""COMPUTED_VALUE"""),"Framingham High School")</f>
        <v>Framingham High School</v>
      </c>
      <c r="E10" s="24">
        <f>IFERROR(__xludf.DUMMYFUNCTION("""COMPUTED_VALUE"""),44451.0)</f>
        <v>44451</v>
      </c>
      <c r="F10" s="20" t="str">
        <f>IFERROR(__xludf.DUMMYFUNCTION("""COMPUTED_VALUE"""),"All")</f>
        <v>All</v>
      </c>
      <c r="G10" s="20">
        <f>IFERROR(__xludf.DUMMYFUNCTION("""COMPUTED_VALUE"""),304.0)</f>
        <v>304</v>
      </c>
      <c r="H10" s="20">
        <f>IFERROR(__xludf.DUMMYFUNCTION("""COMPUTED_VALUE"""),297.0)</f>
        <v>297</v>
      </c>
      <c r="I10" s="21">
        <f>IFERROR(__xludf.DUMMYFUNCTION("""COMPUTED_VALUE"""),0.98)</f>
        <v>0.98</v>
      </c>
      <c r="J10" s="20">
        <f>IFERROR(__xludf.DUMMYFUNCTION("""COMPUTED_VALUE"""),294.0)</f>
        <v>294</v>
      </c>
      <c r="K10" s="20">
        <f>IFERROR(__xludf.DUMMYFUNCTION("""COMPUTED_VALUE"""),72.0)</f>
        <v>72</v>
      </c>
      <c r="L10" s="21">
        <f>IFERROR(__xludf.DUMMYFUNCTION("""COMPUTED_VALUE"""),0.24)</f>
        <v>0.24</v>
      </c>
      <c r="M10" s="20">
        <f>IFERROR(__xludf.DUMMYFUNCTION("""COMPUTED_VALUE"""),64.0)</f>
        <v>64</v>
      </c>
      <c r="N10" s="21">
        <f>IFERROR(__xludf.DUMMYFUNCTION("""COMPUTED_VALUE"""),0.22)</f>
        <v>0.22</v>
      </c>
      <c r="O10" s="20">
        <f>IFERROR(__xludf.DUMMYFUNCTION("""COMPUTED_VALUE"""),101.0)</f>
        <v>101</v>
      </c>
      <c r="P10" s="21">
        <f>IFERROR(__xludf.DUMMYFUNCTION("""COMPUTED_VALUE"""),0.34)</f>
        <v>0.34</v>
      </c>
      <c r="Q10" s="20">
        <f>IFERROR(__xludf.DUMMYFUNCTION("""COMPUTED_VALUE"""),41.0)</f>
        <v>41</v>
      </c>
      <c r="R10" s="21">
        <f>IFERROR(__xludf.DUMMYFUNCTION("""COMPUTED_VALUE"""),0.14)</f>
        <v>0.14</v>
      </c>
      <c r="S10" s="20">
        <f>IFERROR(__xludf.DUMMYFUNCTION("""COMPUTED_VALUE"""),15.0)</f>
        <v>15</v>
      </c>
      <c r="T10" s="21">
        <f>IFERROR(__xludf.DUMMYFUNCTION("""COMPUTED_VALUE"""),0.05)</f>
        <v>0.05</v>
      </c>
      <c r="U10" s="20">
        <f>IFERROR(__xludf.DUMMYFUNCTION("""COMPUTED_VALUE"""),1.0)</f>
        <v>1</v>
      </c>
      <c r="V10" s="21">
        <f>IFERROR(__xludf.DUMMYFUNCTION("""COMPUTED_VALUE"""),0.0)</f>
        <v>0</v>
      </c>
      <c r="W10" s="20">
        <f>IFERROR(__xludf.DUMMYFUNCTION("""COMPUTED_VALUE"""),178.0)</f>
        <v>178</v>
      </c>
      <c r="X10" s="20">
        <f>IFERROR(__xludf.DUMMYFUNCTION("""COMPUTED_VALUE"""),67.0)</f>
        <v>67</v>
      </c>
      <c r="Y10" s="21">
        <f>IFERROR(__xludf.DUMMYFUNCTION("""COMPUTED_VALUE"""),0.38)</f>
        <v>0.38</v>
      </c>
      <c r="Z10" s="20">
        <f>IFERROR(__xludf.DUMMYFUNCTION("""COMPUTED_VALUE"""),304.0)</f>
        <v>304</v>
      </c>
      <c r="AA10" s="20">
        <f>IFERROR(__xludf.DUMMYFUNCTION("""COMPUTED_VALUE"""),48.0)</f>
        <v>48</v>
      </c>
      <c r="AB10" s="21">
        <f>IFERROR(__xludf.DUMMYFUNCTION("""COMPUTED_VALUE"""),0.16)</f>
        <v>0.16</v>
      </c>
    </row>
    <row r="11">
      <c r="L11" s="22">
        <f>AVERAGE(L8:L10)</f>
        <v>0.1466666667</v>
      </c>
      <c r="N11" s="22">
        <f>AVERAGE(N8:N10)</f>
        <v>0.2266666667</v>
      </c>
      <c r="P11" s="22">
        <f>AVERAGE(P8:P10)</f>
        <v>0.43</v>
      </c>
      <c r="R11" s="22">
        <f>AVERAGE(R8:R10)</f>
        <v>0.1633333333</v>
      </c>
      <c r="T11" s="22">
        <f>AVERAGE(T8:T10)</f>
        <v>0.03</v>
      </c>
      <c r="V11" s="22">
        <f>AVERAGE(V8:V10)</f>
        <v>0</v>
      </c>
    </row>
    <row r="13">
      <c r="L13" s="22">
        <f>MEDIAN(L8:L10)</f>
        <v>0.11</v>
      </c>
      <c r="N13" s="22">
        <f>MEDIAN(N8:N10)</f>
        <v>0.22</v>
      </c>
      <c r="P13" s="22">
        <f>MEDIAN(P8:P10)</f>
        <v>0.44</v>
      </c>
      <c r="R13" s="22">
        <f>MEDIAN(R8:R10)</f>
        <v>0.16</v>
      </c>
      <c r="T13" s="22">
        <f>MEDIAN(T8:T10)</f>
        <v>0.02</v>
      </c>
      <c r="V13" s="22">
        <f>MEDIAN(V8:V10)</f>
        <v>0</v>
      </c>
    </row>
  </sheetData>
  <drawing r:id="rId1"/>
</worksheet>
</file>